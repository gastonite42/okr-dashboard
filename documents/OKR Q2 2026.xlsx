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ée" sheetId="1" r:id="rId5"/>
    <sheet state="visible" name="Template individuel" sheetId="2" r:id="rId6"/>
    <sheet state="visible" name="🟠🟢Clément" sheetId="3" r:id="rId7"/>
    <sheet state="visible" name="🟠🟢 Yasser" sheetId="4" r:id="rId8"/>
    <sheet state="visible" name="🟠🟢 Michaël" sheetId="5" r:id="rId9"/>
    <sheet state="visible" name="🟠🟢Cédric" sheetId="6" r:id="rId10"/>
    <sheet state="visible" name="🟠🟢 Yannis" sheetId="7" r:id="rId11"/>
    <sheet state="visible" name="🟠🟢 Nicolas Mary" sheetId="8" r:id="rId12"/>
    <sheet state="visible" name="🟠🟢 Eddy" sheetId="9" r:id="rId13"/>
    <sheet state="visible" name="🟠🟢 Aurélien" sheetId="10" r:id="rId14"/>
    <sheet state="visible" name="🟠🟢Kevin" sheetId="11" r:id="rId15"/>
    <sheet state="visible" name="🟠Pauline" sheetId="12" r:id="rId16"/>
    <sheet state="visible" name=" 🟠🟢 Alessia" sheetId="13" r:id="rId17"/>
    <sheet state="visible" name="🟠🟢 Nicolas G" sheetId="14" r:id="rId18"/>
    <sheet state="visible" name="🟢 Bertrand" sheetId="15" r:id="rId19"/>
    <sheet state="visible" name="🟢Elena" sheetId="16" r:id="rId20"/>
    <sheet state="visible" name="🟢Sophie" sheetId="17" r:id="rId21"/>
    <sheet state="visible" name="🟠Adrien" sheetId="18" r:id="rId22"/>
    <sheet state="visible" name="🟠 Tristan" sheetId="19" r:id="rId23"/>
    <sheet state="visible" name="🟢Eric" sheetId="20" r:id="rId24"/>
    <sheet state="visible" name="🟢François" sheetId="21" r:id="rId25"/>
    <sheet state="visible" name="🟢Romain" sheetId="22" r:id="rId26"/>
    <sheet state="visible" name="🟠Edouard"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Détail contributeurs		
Docs		416
Jobs		104
Events		264
Feeds		
Messagerie		15271
News		13590
Total		29645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la baseline de 88% est la moyenne 12 mois hors incident de mars 2026 (migration Rails 7.2, confirmé par git + conversation équipe + doc Tanguy). Post-fix, avril est à 97%. La cible 99% est atteignable par design avec l'import partiel (les lignes valides passent toujours).</t>
      </text>
    </comment>
    <comment authorId="0" ref="B10">
      <text>
        <t xml:space="preserve">- POST    /v2/members/import (import intelligent CSV)
- POST    /v2/users (créer un user)
- PATCH  /v2/users/:id (modifier un user)
- DELETE /v2/users/:id (supprimer un user)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mars 2026</t>
      </text>
    </comment>
    <comment authorId="0" ref="C3">
      <text>
        <t xml:space="preserve">en mars 26</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mars 26</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14909 en mars 26</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1 vue = 1 page vue sur mobile
</t>
      </text>
    </comment>
    <comment authorId="0" ref="C15">
      <text>
        <t xml:space="preserve">Juin 2025</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par mois</t>
      </text>
    </comment>
    <comment authorId="0" ref="B29">
      <text>
        <t xml:space="preserve">en nombre d'écoutes ? (cf nombre de vues)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Maitrise des couts Datadog : 28k/an </t>
      </text>
    </comment>
    <comment authorId="0" ref="C13">
      <text>
        <t xml:space="preserve">4250 sur l'Administration actuelle - Q1 2026
~0 pour la nouvelle app car pas encore prête</t>
      </text>
    </comment>
    <comment authorId="0" ref="C14">
      <text>
        <t xml:space="preserve">136 sur le Q1 (vues Shopify)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tc={4ca3666a-3f00-41c0-ac36-12a42fee3064}</author>
  </authors>
  <commentList>
    <comment authorId="0" xr:uid="{4ca3666a-3f00-41c0-ac36-12a42fee3064}" ref="C15">
      <text>
        <t xml:space="preserve">[Threaded comment]
 Your version of Excel allows you to read this threaded comment; however, any edits to it will get removed if the file is opened in a newer version of Excel. Learn more: https://go.microsoft.com/fwlink/?linkid=870924
Comment:
	Q1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tc={5524fc2a-1177-4671-a9bf-bfca9e6a9eff}</author>
    <author>tc={758ec7ab-2da5-45f1-9a29-6b5731841e37}</author>
    <author>tc={a19ffcb7-fa6e-42f5-aa80-a1c70b12a609}</author>
  </authors>
  <commentList>
    <comment authorId="0" xr:uid="{5524fc2a-1177-4671-a9bf-bfca9e6a9eff}" ref="D18">
      <text>
        <t xml:space="preserve">[Threaded comment]
 Your version of Excel allows you to read this threaded comment; however, any edits to it will get removed if the file is opened in a newer version of Excel. Learn more: https://go.microsoft.com/fwlink/?linkid=870924
Comment:
	Julien FRELAT : Ok
Clément SURSIN : Ko
</t>
      </text>
    </comment>
    <comment authorId="1" xr:uid="{758ec7ab-2da5-45f1-9a29-6b5731841e37}" ref="C19">
      <text>
        <t xml:space="preserve">[Threaded comment]
 Your version of Excel allows you to read this threaded comment; however, any edits to it will get removed if the file is opened in a newer version of Excel. Learn more: https://go.microsoft.com/fwlink/?linkid=870924
Comment:
	Sophie : 35 jours
Eric : 60 jours
</t>
      </text>
    </comment>
    <comment authorId="2" xr:uid="{a19ffcb7-fa6e-42f5-aa80-a1c70b12a609}" ref="D17">
      <text>
        <t xml:space="preserve">[Threaded comment]
 Your version of Excel allows you to read this threaded comment; however, any edits to it will get removed if the file is opened in a newer version of Excel. Learn more: https://go.microsoft.com/fwlink/?linkid=870924
Comment:
	Julien FRELAT
</t>
      </text>
    </comment>
  </commentList>
</comments>
</file>

<file path=xl/sharedStrings.xml><?xml version="1.0" encoding="utf-8"?>
<sst xmlns="http://schemas.openxmlformats.org/spreadsheetml/2006/main" count="1044" uniqueCount="583">
  <si>
    <t>Objectif Général</t>
  </si>
  <si>
    <t xml:space="preserve">Rebondir ! </t>
  </si>
  <si>
    <t>Départ</t>
  </si>
  <si>
    <t>Valeur actuelle</t>
  </si>
  <si>
    <t>Cible</t>
  </si>
  <si>
    <t>% achieve</t>
  </si>
  <si>
    <t>date MAJ</t>
  </si>
  <si>
    <t>KR 1</t>
  </si>
  <si>
    <t>300 000 utilisateurs réguliers</t>
  </si>
  <si>
    <t>KR 2</t>
  </si>
  <si>
    <t>450 000 collaborateurs équipés</t>
  </si>
  <si>
    <t>KR 3</t>
  </si>
  <si>
    <t>65% d’utilisateurs réguliers en moyenne</t>
  </si>
  <si>
    <t>Objectif</t>
  </si>
  <si>
    <t>Rendre Steeple indispensable</t>
  </si>
  <si>
    <t>Faire progresser le taux de contributeurs de 9% à 20%</t>
  </si>
  <si>
    <t>Générer 1 milliard de vues</t>
  </si>
  <si>
    <t>Avoir 100% des collaborateurs ajoutés par rapport au forfait</t>
  </si>
  <si>
    <t>KR 4</t>
  </si>
  <si>
    <t>80% d'utilisateurs réguliers sur les nouveaux clients</t>
  </si>
  <si>
    <t>Le faire savoir aux bonnes personnes</t>
  </si>
  <si>
    <t>95% de taux de rétention soit 16 500 de perte</t>
  </si>
  <si>
    <t>5% de churn 2026 = 16500 collabs perdus</t>
  </si>
  <si>
    <t>50 000 collaborateurs suplémentaire en Upsell</t>
  </si>
  <si>
    <t>100 000 collaborateurs suplémentaires dans les comptes clefs</t>
  </si>
  <si>
    <t>xxxx</t>
  </si>
  <si>
    <t>Actions :</t>
  </si>
  <si>
    <t>yyyy</t>
  </si>
  <si>
    <t>Faire progresser la contribution multi-apps</t>
  </si>
  <si>
    <r>
      <rPr>
        <rFont val="Roboto"/>
        <b/>
        <color theme="1"/>
      </rPr>
      <t>Contributeurs sur les apps Docs + Events + Jobs par mois</t>
    </r>
    <r>
      <rPr>
        <rFont val="Roboto"/>
        <color theme="1"/>
      </rPr>
      <t xml:space="preserve">
</t>
    </r>
    <r>
      <rPr>
        <rFont val="Roboto"/>
        <i/>
        <color theme="1"/>
        <sz val="8.0"/>
      </rPr>
      <t>(Rendre Steeple indispensable KR1 : faire progresser la contribution multi-apps de 9 à 20%)</t>
    </r>
  </si>
  <si>
    <t>[Team Produit &gt; Contributeurs]</t>
  </si>
  <si>
    <t>Nombre d'objets crées</t>
  </si>
  <si>
    <t>Nombre de passage en macchiato</t>
  </si>
  <si>
    <r>
      <rPr>
        <rFont val="Roboto"/>
        <b/>
        <color theme="1"/>
      </rPr>
      <t xml:space="preserve">- </t>
    </r>
    <r>
      <rPr>
        <rFont val="Roboto"/>
        <color theme="1"/>
      </rPr>
      <t xml:space="preserve">Construire le socle technique de la super-app :
</t>
    </r>
    <r>
      <rPr>
        <rFont val="Roboto"/>
        <color theme="1"/>
        <sz val="8.0"/>
      </rPr>
      <t xml:space="preserve">  →Unifier les permissions des 7 services (getAllPermissions)
  →Livrer le super bouton "Créer" unifié — point d'entrée unique de création de contenu (coordonné avec Aurélien web + Nicolas Mary mobile)
  →Ouvrir la voie aux combinaisons d'usages cross-apps (fondation réutilisable pour l'espace communauté unifié)</t>
    </r>
  </si>
  <si>
    <t>(usages detournés, boite à idée, ajout collaborateur, contribution-vs-contributeur, placer à plusieurs endroits strategiques, deps entre types d'objet, ajout du contexte d'usage en plus des droits d'acces)</t>
  </si>
  <si>
    <t>Tous les collaborateurs ont un compte Steeple</t>
  </si>
  <si>
    <r>
      <rPr>
        <rFont val="Roboto"/>
        <b/>
        <color theme="1"/>
      </rPr>
      <t>Taux de réussite des imports de membres par fichier CSV</t>
    </r>
    <r>
      <rPr>
        <rFont val="Roboto"/>
        <color theme="1"/>
      </rPr>
      <t xml:space="preserve">
</t>
    </r>
    <r>
      <rPr>
        <rFont val="Roboto"/>
        <i/>
        <color theme="1"/>
        <sz val="8.0"/>
      </rPr>
      <t>(Rendre Steeple indispensable KR3 : avoir 100% des collaborateurs ajoutés par rapport au forfait)</t>
    </r>
  </si>
  <si>
    <r>
      <rPr>
        <rFont val="Roboto"/>
        <b/>
        <color theme="1"/>
      </rPr>
      <t>Nombre d'endpoints d'écriture accessibles via l'API publique v2</t>
    </r>
    <r>
      <rPr>
        <rFont val="Roboto"/>
        <color theme="1"/>
      </rPr>
      <t xml:space="preserve">
</t>
    </r>
    <r>
      <rPr>
        <rFont val="Roboto"/>
        <i/>
        <color theme="1"/>
        <sz val="8.0"/>
      </rPr>
      <t>(Rendre Steeple indispensable KR3 : avoir 100% des collaborateurs ajoutés par rapport au forfait)</t>
    </r>
  </si>
  <si>
    <r>
      <rPr>
        <rFont val="Roboto"/>
        <b/>
        <color theme="1"/>
      </rPr>
      <t xml:space="preserve">- </t>
    </r>
    <r>
      <rPr>
        <rFont val="Roboto"/>
        <color theme="1"/>
      </rPr>
      <t xml:space="preserve">Import CSV intelligent des membres (exposé en </t>
    </r>
    <r>
      <rPr>
        <rFont val="Roboto"/>
        <b/>
        <color theme="1"/>
      </rPr>
      <t>tRPC</t>
    </r>
    <r>
      <rPr>
        <rFont val="Roboto"/>
        <color theme="1"/>
      </rPr>
      <t xml:space="preserve"> pour l'</t>
    </r>
    <r>
      <rPr>
        <rFont val="Roboto"/>
        <b/>
        <color theme="1"/>
      </rPr>
      <t>UI</t>
    </r>
    <r>
      <rPr>
        <rFont val="Roboto"/>
        <color theme="1"/>
      </rPr>
      <t xml:space="preserve"> et </t>
    </r>
    <r>
      <rPr>
        <rFont val="Roboto"/>
        <b/>
        <color theme="1"/>
      </rPr>
      <t>REST</t>
    </r>
    <r>
      <rPr>
        <rFont val="Roboto"/>
        <color theme="1"/>
      </rPr>
      <t xml:space="preserve"> pour l'</t>
    </r>
    <r>
      <rPr>
        <rFont val="Roboto"/>
        <b/>
        <color theme="1"/>
      </rPr>
      <t>APIV2</t>
    </r>
    <r>
      <rPr>
        <rFont val="Roboto"/>
        <color theme="1"/>
      </rPr>
      <t xml:space="preserve">) :
</t>
    </r>
    <r>
      <rPr>
        <rFont val="Roboto"/>
        <color theme="1"/>
        <sz val="12.0"/>
      </rPr>
      <t xml:space="preserve">  →</t>
    </r>
    <r>
      <rPr>
        <rFont val="Roboto"/>
        <color theme="1"/>
        <sz val="8.0"/>
      </rPr>
      <t xml:space="preserve">Validation fine et robuste
</t>
    </r>
    <r>
      <rPr>
        <rFont val="Roboto"/>
        <color theme="1"/>
        <sz val="12.0"/>
      </rPr>
      <t xml:space="preserve">  →</t>
    </r>
    <r>
      <rPr>
        <rFont val="Roboto"/>
        <color theme="1"/>
        <sz val="8.0"/>
      </rPr>
      <t xml:space="preserve">Import partiel
</t>
    </r>
    <r>
      <rPr>
        <rFont val="Roboto"/>
        <color theme="1"/>
        <sz val="12.0"/>
      </rPr>
      <t xml:space="preserve">  →</t>
    </r>
    <r>
      <rPr>
        <rFont val="Roboto"/>
        <color theme="1"/>
        <sz val="8.0"/>
      </rPr>
      <t xml:space="preserve">Rapport d'erreurs détaillé
</t>
    </r>
    <r>
      <rPr>
        <rFont val="Roboto"/>
        <color theme="1"/>
        <sz val="12.0"/>
      </rPr>
      <t xml:space="preserve">  →</t>
    </r>
    <r>
      <rPr>
        <rFont val="Roboto"/>
        <color theme="1"/>
        <sz val="8.0"/>
      </rPr>
      <t>1er endpoint de l'API v2</t>
    </r>
  </si>
  <si>
    <t>(retirer communautés,matricules,code pin)</t>
  </si>
  <si>
    <r>
      <rPr>
        <rFont val="Roboto"/>
        <b/>
        <color theme="1"/>
      </rPr>
      <t xml:space="preserve">- </t>
    </r>
    <r>
      <rPr>
        <rFont val="Roboto"/>
        <color theme="1"/>
      </rPr>
      <t xml:space="preserve">Construire les 4 endpoints d'écriture API v2 :
</t>
    </r>
    <r>
      <rPr>
        <rFont val="Roboto"/>
        <color theme="1"/>
        <sz val="12.0"/>
      </rPr>
      <t xml:space="preserve">  →</t>
    </r>
    <r>
      <rPr>
        <rFont val="Roboto"/>
        <color theme="1"/>
        <sz val="8.0"/>
      </rPr>
      <t xml:space="preserve">Import CSV (`POST /v2/members/import`)
</t>
    </r>
    <r>
      <rPr>
        <rFont val="Roboto"/>
        <color theme="1"/>
        <sz val="12.0"/>
      </rPr>
      <t xml:space="preserve">  →</t>
    </r>
    <r>
      <rPr>
        <rFont val="Roboto"/>
        <color theme="1"/>
        <sz val="8.0"/>
      </rPr>
      <t xml:space="preserve">Créer un user (`POST /v2/users`)
</t>
    </r>
    <r>
      <rPr>
        <rFont val="Roboto"/>
        <color theme="1"/>
        <sz val="12.0"/>
      </rPr>
      <t xml:space="preserve">  →</t>
    </r>
    <r>
      <rPr>
        <rFont val="Roboto"/>
        <color theme="1"/>
        <sz val="8.0"/>
      </rPr>
      <t xml:space="preserve">Modifier un user (`PATCH /v2/users/:id`)
</t>
    </r>
    <r>
      <rPr>
        <rFont val="Roboto"/>
        <color theme="1"/>
        <sz val="12.0"/>
      </rPr>
      <t xml:space="preserve">  →</t>
    </r>
    <r>
      <rPr>
        <rFont val="Roboto"/>
        <color theme="1"/>
        <sz val="8.0"/>
      </rPr>
      <t>Supprimer un user (`DELETE /v2/users/:id`)</t>
    </r>
  </si>
  <si>
    <t>KR3 lié à KR1 (exposer la logique d'ajout de membre  à l'UI ?)</t>
  </si>
  <si>
    <r>
      <rPr>
        <rFont val="Roboto"/>
        <b/>
        <color theme="1"/>
      </rPr>
      <t xml:space="preserve">- </t>
    </r>
    <r>
      <rPr>
        <rFont val="Roboto"/>
        <color theme="1"/>
      </rPr>
      <t xml:space="preserve">Monter en expertise sur le provisioning de membres pour préparer les intégrations SIRH :
</t>
    </r>
    <r>
      <rPr>
        <rFont val="Roboto"/>
        <color theme="1"/>
        <sz val="12.0"/>
      </rPr>
      <t xml:space="preserve">  →</t>
    </r>
    <r>
      <rPr>
        <rFont val="Roboto"/>
        <color theme="1"/>
        <sz val="8.0"/>
      </rPr>
      <t xml:space="preserve">Maîtriser le cycle de vie des membres (création, validation, rôles, communautés)
</t>
    </r>
    <r>
      <rPr>
        <rFont val="Roboto"/>
        <color theme="1"/>
        <sz val="12.0"/>
      </rPr>
      <t xml:space="preserve">  →</t>
    </r>
    <r>
      <rPr>
        <rFont val="Roboto"/>
        <color theme="1"/>
        <sz val="8.0"/>
      </rPr>
      <t xml:space="preserve">Cartographier les besoins Lucca (priorité #1) et Silae
</t>
    </r>
    <r>
      <rPr>
        <rFont val="Roboto"/>
        <color theme="1"/>
        <sz val="12.0"/>
      </rPr>
      <t xml:space="preserve">  →</t>
    </r>
    <r>
      <rPr>
        <rFont val="Roboto"/>
        <color theme="1"/>
        <sz val="8.0"/>
      </rPr>
      <t>Être en mesure de proposer des intégrations SIRH en Q3</t>
    </r>
  </si>
  <si>
    <t>Augmenter les vues des notifs et des vues</t>
  </si>
  <si>
    <t>Notifications - nombre de vues par mois</t>
  </si>
  <si>
    <t>Feeds - nombre de vues par mois</t>
  </si>
  <si>
    <t>Notification - paramétrage simplifié</t>
  </si>
  <si>
    <t>Feeds - rajout des usecases</t>
  </si>
  <si>
    <t>Augmenter le nombre de vues des apps</t>
  </si>
  <si>
    <t>Historique Q1</t>
  </si>
  <si>
    <t>Cible Q2</t>
  </si>
  <si>
    <t>Augmenter le nombre de consultation de la fonction recherche</t>
  </si>
  <si>
    <t>Recherche legacy pour le moment puis recherche unifiée par la suite</t>
  </si>
  <si>
    <t>Augmenter le nombre de recherches</t>
  </si>
  <si>
    <t>150K recherches legacy enregistrée en un mois (via suivi dédié) - Extrapolation trimestrielle</t>
  </si>
  <si>
    <t>Augmenter le nombre de vues des apps via recherche</t>
  </si>
  <si>
    <t>Non traqué pour le moment</t>
  </si>
  <si>
    <t>Vue des Apps depuis la home</t>
  </si>
  <si>
    <t>TBD</t>
  </si>
  <si>
    <t>✅ Normaliser la recherche pour chaque app</t>
  </si>
  <si>
    <t>✅ Développer la fonction de "Recherche unifiée" (KR1)</t>
  </si>
  <si>
    <t>✅ Ajouter un tracking sur les recherches internes de la messagerie (KR2)</t>
  </si>
  <si>
    <t>✅ Ajouter un tracking sur les recherches apps de la recherche unifiée (KR2 &amp; KR3)</t>
  </si>
  <si>
    <t>Faire de la messagerie un concurrent à WhatsApp</t>
  </si>
  <si>
    <t>Augmenter le nombre de conversations actives par mois</t>
  </si>
  <si>
    <t>✅ Ajouter la recherche cross conversation</t>
  </si>
  <si>
    <t>✅ Permettre à la mega recherche d'interagir avec celle-ci</t>
  </si>
  <si>
    <t>CHANTIERS GLOBAUX/SUPPLEMENTAIRES</t>
  </si>
  <si>
    <t>⏳ Optimiser la messagerie et éliminer les bugs résiduels</t>
  </si>
  <si>
    <t>✅ Permettre d'avoir un scope hybride côté back (étendu sur l'ensemble des apps par la suite)</t>
  </si>
  <si>
    <t>Axe Stratégique (Vision)</t>
  </si>
  <si>
    <t>Chantiers Prioritaires</t>
  </si>
  <si>
    <t>Actions Clés</t>
  </si>
  <si>
    <t>Indicateurs à Traquer</t>
  </si>
  <si>
    <t>⏳ Créer automatiquement une conversation lors de la création d'une communauté</t>
  </si>
  <si>
    <t>Mono-app ➔ Super-app</t>
  </si>
  <si>
    <t>Recherche Transverse</t>
  </si>
  <si>
    <t>Développer l'agrégateur de contenus multi-apps</t>
  </si>
  <si>
    <t>% d'utilisation de la recherche / nombre de vues des apps depuis la recherche</t>
  </si>
  <si>
    <t>⏳ Intégrer la notification desktop (configurable)</t>
  </si>
  <si>
    <t>Homepage Hub</t>
  </si>
  <si>
    <t>Transformer la Home en point d'entrée unique</t>
  </si>
  <si>
    <t>Nb de vues d'objets depuis la Home</t>
  </si>
  <si>
    <t>Intégration des autres apps dans la messagerie</t>
  </si>
  <si>
    <t>Interface Stricte ➔ Personnalisée</t>
  </si>
  <si>
    <t>Widgets &amp; Contextualisation</t>
  </si>
  <si>
    <t>Créer des widgets adaptables selon l'usage</t>
  </si>
  <si>
    <t>Usage comparé (Home vs Widgets vs Apps)</t>
  </si>
  <si>
    <t>Création des messages à partir communauté / évènements</t>
  </si>
  <si>
    <t>Multi-devices</t>
  </si>
  <si>
    <t>Intégrer Bornes et Écrans de production</t>
  </si>
  <si>
    <t>Nb moyen de devices utilisés par utilisateur</t>
  </si>
  <si>
    <t>Usage Global ➔ Local/Manager</t>
  </si>
  <si>
    <t>Conversations Managériales</t>
  </si>
  <si>
    <t>Prioriser la création de nouvelles discussions</t>
  </si>
  <si>
    <t>Nombre de conversations créées</t>
  </si>
  <si>
    <t>Actions supplémentaires liées à la fusion (projet Clovis)</t>
  </si>
  <si>
    <t>Fusionner les 13 bases de données en 2</t>
  </si>
  <si>
    <t>Retravailler la partie "Docker" back</t>
  </si>
  <si>
    <t>⏳ Continuer l'optimisation générale de la stack</t>
  </si>
  <si>
    <t>Permettre les requêtes croisées Metabase</t>
  </si>
  <si>
    <t>Diminuer le poids de la stack locale en mémoire (de 9 Go à 4,5 Go)</t>
  </si>
  <si>
    <t>Profiter de la migration pour augmenter les vues et la création de news</t>
  </si>
  <si>
    <t>Augmenter les contributeurs</t>
  </si>
  <si>
    <t>Augmenter les vues sur le trimestre</t>
  </si>
  <si>
    <t>Augmenter les commentaires et réactions</t>
  </si>
  <si>
    <t>Actions</t>
  </si>
  <si>
    <t>KR1</t>
  </si>
  <si>
    <t>Simplifier l'UI du module de publication</t>
  </si>
  <si>
    <t>Mettre la création de publication depuis la page communauté</t>
  </si>
  <si>
    <t>Pouvoir générer une publication plus simplement</t>
  </si>
  <si>
    <t>KR2</t>
  </si>
  <si>
    <t>Confirmation de lecture et notifications de relances</t>
  </si>
  <si>
    <t>Génération d'images basé sur le texte de la publication</t>
  </si>
  <si>
    <t>KR3</t>
  </si>
  <si>
    <t>UI qui incite à lire puis commenter</t>
  </si>
  <si>
    <t>Multi réactions</t>
  </si>
  <si>
    <t>Lot - module publication</t>
  </si>
  <si>
    <t>Edition d'une publication</t>
  </si>
  <si>
    <t>Vue d'une publication (TV/Desktop)</t>
  </si>
  <si>
    <t>Amélioration contenu (mise en forme / IA)</t>
  </si>
  <si>
    <t>Lot - Gestion des medias</t>
  </si>
  <si>
    <t>Limite 200 Mo</t>
  </si>
  <si>
    <t>Generation image</t>
  </si>
  <si>
    <t>Lot - Gestion des reactions</t>
  </si>
  <si>
    <t>Accusé de lecture + relance</t>
  </si>
  <si>
    <t>Multi reaction</t>
  </si>
  <si>
    <t>Mise en avant des commentaires</t>
  </si>
  <si>
    <t>Améliorer la productivité interne / Simplifier la stack</t>
  </si>
  <si>
    <t>Réduire le Time to prod</t>
  </si>
  <si>
    <t>(pousse aussi l'usage des apps + réduction de tickets)</t>
  </si>
  <si>
    <t xml:space="preserve">Actions : </t>
  </si>
  <si>
    <t>✅  Supprimer la Messagerie legacy</t>
  </si>
  <si>
    <t>⏳ Supprimer l'ancienne Admin (post controller &amp; stat commu lvl + old endpoint)</t>
  </si>
  <si>
    <t>✅  Supprimer les Notifs mobile</t>
  </si>
  <si>
    <t>Supprimer les Activitées Récentes / GroupEvent</t>
  </si>
  <si>
    <t>Supprimer le Module Ancienneté</t>
  </si>
  <si>
    <t>Supprimer le Module Anniversaires</t>
  </si>
  <si>
    <t>Supprimer le Module Flux RSS</t>
  </si>
  <si>
    <t>Supprimer le Module Page Facebook</t>
  </si>
  <si>
    <t>Supprimer le Module Pâques</t>
  </si>
  <si>
    <t>Supprimer le Module Tirage au sort</t>
  </si>
  <si>
    <t>Augmenter le nombre de vues sur les articles/post des Nouveautés Produit (vues cumulées)</t>
  </si>
  <si>
    <t>Augmenter le pourcentage d'utilisateurs réguliers</t>
  </si>
  <si>
    <t>- Fix les bugs sur les pigeons</t>
  </si>
  <si>
    <t>- Ajouter les notifications sur les pigeons</t>
  </si>
  <si>
    <t>- Créer un espace dédié pour les nouveautées (app?)</t>
  </si>
  <si>
    <t>- Créer un espace dédié pour les Apps,Modules... (marketplace)</t>
  </si>
  <si>
    <t>- Mettre en prod l'app Pronostiques</t>
  </si>
  <si>
    <t>Atteindre 25 millions de vues sur mobile sur le trimestre</t>
  </si>
  <si>
    <t>Atteindre 300 000 recherches sur la mega recherche mobile</t>
  </si>
  <si>
    <t>Vues des apps depuis les widgets de la home mobile</t>
  </si>
  <si>
    <t>Atteindre X redirection vers une création d'objet à partir du super-bouton mobile</t>
  </si>
  <si>
    <t>Nouvelle Home (ajout progressif de widgets sur la home)</t>
  </si>
  <si>
    <t>Mega bouton de création</t>
  </si>
  <si>
    <t>Recherche unifiée (comprends l'ajout des recherches dans la messagerie, l'ajout de pagination dans les apps qui en sont dépourvus etc.)</t>
  </si>
  <si>
    <t>Amélioration News (feed de publications, actions rubriques...)</t>
  </si>
  <si>
    <t>App Feeds pour mobile</t>
  </si>
  <si>
    <t>Réduire le bounce rate de la page Home mobile</t>
  </si>
  <si>
    <t>Augmenter le nombre de réguliers mobile (+10k par rapport à n-1)</t>
  </si>
  <si>
    <t>Administrateur : voir qui s’est déjà connecté sur mobile</t>
  </si>
  <si>
    <t>Pousser au téléchargement de l’app mobile (email, notif in_app)</t>
  </si>
  <si>
    <t>Amélioration continue de l'ensemble des features sur mobile</t>
  </si>
  <si>
    <t>Conclusion de l'expert Gemini</t>
  </si>
  <si>
    <t>Vos Résultats Clés sont excellents, et les Actions sont les bonnes initiatives pour les atteindre. Vous avez maintenant toutes les cartes en main pour valider si les cibles de 25M, 300k et 1M sont à la hauteur du challenge que vous vous fixez pour ce T2.</t>
  </si>
  <si>
    <t>Rendre chaque admin augmenté grâce à un agent support fiable</t>
  </si>
  <si>
    <t>Cible Trimestre (cumulé)</t>
  </si>
  <si>
    <t>Nombre de demandes traitées correctement (mal traité -1, bien traité +1)</t>
  </si>
  <si>
    <t>Taux de complétude des bases de connaissances cibles</t>
  </si>
  <si>
    <t>Mise en place d'une FAQ centralisée</t>
  </si>
  <si>
    <t>Création d'un agent support dédié</t>
  </si>
  <si>
    <t>Définir et produire un catalogue de prompts (recettes) clés</t>
  </si>
  <si>
    <t>Faire découvrir à nos clients les agents custom</t>
  </si>
  <si>
    <t>Nombre de conversations (sessions) sur des agents custom</t>
  </si>
  <si>
    <t>Taux de réussite</t>
  </si>
  <si>
    <t>Création d'une application Agents dédiée</t>
  </si>
  <si>
    <t>Identificaton de cas d'usages + paramétrage en un clic d'un agent</t>
  </si>
  <si>
    <t>Points d'entrées de l'assistant IA supplémentaires</t>
  </si>
  <si>
    <t>Rendre chaque collaborateur augmenté grâce à une IA omniprésente et intuitive.</t>
  </si>
  <si>
    <t>Cible (trimestre cumulé)</t>
  </si>
  <si>
    <t>Augmenter le nombre d'interactions avec l'assistant IA</t>
  </si>
  <si>
    <t>Augmenter le Taux de Fidélisation (Stickiness Ratio DAU/MAU) des utilisateurs de l'IA de 0% à 20% *</t>
  </si>
  <si>
    <t>Augmentation du volume de contenus créés via l'usage des agents</t>
  </si>
  <si>
    <t>* Note sur le Taux de Fidélisation (DAU/MAU) : Cet indicateur mesure la récurrence et la qualité de l'engagement. Le calcul est : (Nombre d'Utilisateurs IA Actifs Quotidiens (DAU) / Nombre d'Utilisateurs IA Actifs Mensuels (MAU)) * 100.</t>
  </si>
  <si>
    <t>Etendre les agents custom sur du contenu cible (rubriques...)</t>
  </si>
  <si>
    <t>Rendre les agents accessibles sur tous les supports, en particulier les écrans</t>
  </si>
  <si>
    <t>Tracking du contenu créé via agent</t>
  </si>
  <si>
    <t>Créer un format pertinent</t>
  </si>
  <si>
    <t>Nombre d'écoutes</t>
  </si>
  <si>
    <t>Atteindre un taux de complétion moyen des podcasts de 70% *</t>
  </si>
  <si>
    <t>Nombre de contenus d'actualités convertis au format audio **</t>
  </si>
  <si>
    <t>* Note taux de completion - part de l'audience qui a écouté le contenu dans son intégralité.</t>
  </si>
  <si>
    <t>** 10 podcasts x 5 contenus par podcast x 50 organisations</t>
  </si>
  <si>
    <t>Version beta qui génère directement dans docs un podcast pour des organisations cible</t>
  </si>
  <si>
    <t>Création d'une application "Radio Steeple"</t>
  </si>
  <si>
    <t>Établir une charte qualité pour la production audio et former les équipes de contenu aux standards de qualité audio</t>
  </si>
  <si>
    <t>Faire des Apps Steeple un réflexe quotidien pour les utilisateurs</t>
  </si>
  <si>
    <t>Doubler le nombre de vues des Apps sur le trimestre</t>
  </si>
  <si>
    <t>Docs, Jobs, Events, Feeds,, Prono, Bien etre</t>
  </si>
  <si>
    <t>20% de contributeurs en plus (cumul apps) sur le trimestre</t>
  </si>
  <si>
    <t>Docs, Jobs, Events, Feeds, Shortcuts, News, Messagerie</t>
  </si>
  <si>
    <t>Booster l'usage de l'app annuaire - vues</t>
  </si>
  <si>
    <t>Profil, Annuaire</t>
  </si>
  <si>
    <t>Nouvelle barre de navigation avec super bouton création</t>
  </si>
  <si>
    <t>Nouvelle home pour mettre en avant les apps</t>
  </si>
  <si>
    <t>Scope Hybride</t>
  </si>
  <si>
    <t>Page profile sur la TV</t>
  </si>
  <si>
    <t>Filtre communautés sur l'annuaire</t>
  </si>
  <si>
    <t>Gestion des services et lieux dans l'annuaire</t>
  </si>
  <si>
    <t>Objectif 1</t>
  </si>
  <si>
    <t>Faire de la home une page d'accueil</t>
  </si>
  <si>
    <t>X% de contributeurs en plus depuis la home</t>
  </si>
  <si>
    <t>X plus de vues depuis la home</t>
  </si>
  <si>
    <t xml:space="preserve">Actions </t>
  </si>
  <si>
    <t>Mettre en avant dans la nav bar</t>
  </si>
  <si>
    <t>Mettre en avant sur la page d'accueil</t>
  </si>
  <si>
    <t>Objectif 2</t>
  </si>
  <si>
    <t xml:space="preserve">Développer l'usage local et managérial </t>
  </si>
  <si>
    <t>% entreprise avec les services renseignés</t>
  </si>
  <si>
    <t>Augmenter le nombre de communauté par collaborateur</t>
  </si>
  <si>
    <t>Augmenter le nombre d'objets par communautés</t>
  </si>
  <si>
    <t xml:space="preserve">Services et lieux </t>
  </si>
  <si>
    <t>améliorer l'enrichissement de l'annuaire</t>
  </si>
  <si>
    <t>% collaborateur ajouté / forfait</t>
  </si>
  <si>
    <t>Accélérer le développement et la scalabilité du produit</t>
  </si>
  <si>
    <t>Accéléreration du Time to Prod</t>
  </si>
  <si>
    <t>Avoir une archi scalable financièrement - économies/an</t>
  </si>
  <si>
    <t>Maintenir un taux de disponibilité de 99,9% pendant la migration AWS</t>
  </si>
  <si>
    <t>99.98</t>
  </si>
  <si>
    <t>99.90</t>
  </si>
  <si>
    <t>Fusionner les bases de données vers une base unifiée</t>
  </si>
  <si>
    <t>feat. Michaël</t>
  </si>
  <si>
    <t>Consolider les backends en un seul build (Duolithe)</t>
  </si>
  <si>
    <t>Unifier les pipelines frontend</t>
  </si>
  <si>
    <t>feat. Aurélien</t>
  </si>
  <si>
    <t>Finaliser la migration Heroku → AWS (deadline mi-mai)</t>
  </si>
  <si>
    <t>feat. Premaccess (Prestataire partenaire AWS)</t>
  </si>
  <si>
    <t xml:space="preserve">Optimiser nos coûts Datadog </t>
  </si>
  <si>
    <t>feat. Datadog (Commercial)</t>
  </si>
  <si>
    <t>Augmenter les vues via nouvelles Apps</t>
  </si>
  <si>
    <t>Vues de l'app statistiques</t>
  </si>
  <si>
    <t>Vues de l'App Store</t>
  </si>
  <si>
    <t>Modale sur nouveautés / CTA pour découvrir</t>
  </si>
  <si>
    <t>Développer et rendre accessible la nouvelle intégration Statistiques (Metabase) à tous les administrateurs</t>
  </si>
  <si>
    <t>Développer et rendre accessible l'intégration Shopify à tous les administrateurs</t>
  </si>
  <si>
    <t>Migrer Monorepositorix de Yarn vers pnpm</t>
  </si>
  <si>
    <t>Auditer et whitelister (si vraiment nécessaire) les 7 dépendances avec postinstall</t>
  </si>
  <si>
    <t>Documenter l'incident supply-chain axios/plain-crypto-js comme justification</t>
  </si>
  <si>
    <t>IMPACT</t>
  </si>
  <si>
    <t>En simplifiant notre infrastructure et en sécurisant notre chaîne de dépendances, on crée les conditions pour que les développeurs — et bientôt d'autres équipes grâce à l'IA — livrent plus vite, plus souvent, et en confiance. Moins de pipelines, moins de bases, moins de friction : c'est du temps récupéré sur l'opérationnel, réinvesti directement dans le produit. L'impact est indirect mais concret : chaque itération livrée plus rapidement, c'est une fonctionnalité de plus entre les mains de nos clients, et un pas de plus vers l'ambition de rendre Steeple indispensable.</t>
  </si>
  <si>
    <t>Dégager du temps pour travailler des sujets plus offensifs</t>
  </si>
  <si>
    <t>Porter la part des clients en prélèvement de 152 à 250 afin de réduire le temps de gestion des créances</t>
  </si>
  <si>
    <t>Accompagner les clients vers l'autonomie en générant 20 ventes d'upsell ou matériel via Shopify</t>
  </si>
  <si>
    <t xml:space="preserve">Réduire de 20% le volume de tickets traités manuellement en lien avec la facturation </t>
  </si>
  <si>
    <t>Atteindre 100% de contrats signés sur Système U</t>
  </si>
  <si>
    <t>Durcir les process de gestion des créances (avec l'interruption du service à mettre en place avec le produit, création de workflow sur HS en fonction des dates d'échéance : clients à appeler / envoi MED)</t>
  </si>
  <si>
    <t>Augmenter le taux de prélèvement (rappel automatique lors de retard de règlement, intégration du mandat aux relances, identification des freins actuels)</t>
  </si>
  <si>
    <t>Alimenter Hubspot selon les historiques de paiement des clients</t>
  </si>
  <si>
    <t xml:space="preserve">KR2 </t>
  </si>
  <si>
    <t>Mettre en place des mécaniques quasi automatiques pour fluidifier les ventes d'upsell et de matériel (informer le client de la mise en place de Shopify - l'accompagner pr son 1er achat)</t>
  </si>
  <si>
    <t xml:space="preserve">Automatiser les relances de devis </t>
  </si>
  <si>
    <t>Améliorer la gestion de l'obscolence et du renouvellement ( mettre en place un suivi des cycles de vie)</t>
  </si>
  <si>
    <t xml:space="preserve">Construire une base de connaissance complète (facturation) pour rediriger les demandes vers le chatbot </t>
  </si>
  <si>
    <t>KR4</t>
  </si>
  <si>
    <t xml:space="preserve">Envoyer les contrats aux 215 établissements et une fois signés, créer les nouveaux abonnements </t>
  </si>
  <si>
    <t>Maitriser les dépenses</t>
  </si>
  <si>
    <t>Vendre les stocks dormants</t>
  </si>
  <si>
    <t>Optimiser les couts fournisseurs</t>
  </si>
  <si>
    <t>Vendre les voitures</t>
  </si>
  <si>
    <t>Vendre les PC / chaises</t>
  </si>
  <si>
    <t>Suivi des 107 lignes de dépenses sur les 1,1 M€</t>
  </si>
  <si>
    <t>Couper les licences sans porteur</t>
  </si>
  <si>
    <t>Limiter le nombre de licences</t>
  </si>
  <si>
    <t>Objectifs d'entreprise ciblés</t>
  </si>
  <si>
    <t>Augmenter le nombre de contributeurs à 50 000 fin juin</t>
  </si>
  <si>
    <t>Nombre de vues sur le trimestre (en M)</t>
  </si>
  <si>
    <t>Comment ?</t>
  </si>
  <si>
    <t>Structuration process produit pour délivrer rapidement de la valeur</t>
  </si>
  <si>
    <t>Avoir un Time to Prod en jours rapide</t>
  </si>
  <si>
    <t>Avoir un Stock de Bug infèrieur à 10</t>
  </si>
  <si>
    <t xml:space="preserve">Améliorer le NPS  des clients </t>
  </si>
  <si>
    <t>Amélioration tracking des vues</t>
  </si>
  <si>
    <t>Mise en place pipeline des tickets bug et amélioration</t>
  </si>
  <si>
    <t>Modale nouveautés</t>
  </si>
  <si>
    <t>Mieux mesurer les contributeurs</t>
  </si>
  <si>
    <t>Publication linkedin sur nouveautés</t>
  </si>
  <si>
    <t>Grande communauté / nouveautés</t>
  </si>
  <si>
    <t>Passage en multi App</t>
  </si>
  <si>
    <t>Rendre les clients autonomes pour augmenter l'usage</t>
  </si>
  <si>
    <t>% de devis traités sans humain</t>
  </si>
  <si>
    <t>Vue de la page nouveautés/pigeon</t>
  </si>
  <si>
    <t>Automatisation relance / blocage des comptes</t>
  </si>
  <si>
    <t>Shopify pour les commandes</t>
  </si>
  <si>
    <t>Marketplace</t>
  </si>
  <si>
    <t>Upsell depuis Steeple</t>
  </si>
  <si>
    <t>Structuration financière</t>
  </si>
  <si>
    <t>Réduction des couts au global</t>
  </si>
  <si>
    <t>Optimiser surplus de trésorerie</t>
  </si>
  <si>
    <t>Réduction cout JIRA / Orange</t>
  </si>
  <si>
    <t>Placement CT, MT , LT</t>
  </si>
  <si>
    <t>Objectif : Atteindre l'excellence opérationnelle du support</t>
  </si>
  <si>
    <t>KR 1 : Réduire de 50% le volume moyen de tickets en attente (Backlog) par rapport au Q1</t>
  </si>
  <si>
    <t>KR 2 : Diviser par 2 le délai de résolution moyen des tickets bloqués par le Produit</t>
  </si>
  <si>
    <t>Objectif : Transformer le support en levier de croissance</t>
  </si>
  <si>
    <t>KR 1 : Passer 25% des comptes identifiés 'Rouges' en statut 'Vert' ou 'jaune' suite aux Contrôles Techniques.</t>
  </si>
  <si>
    <t>KR 2 : Générer un taux de transformation de 20% des passes "Consulting" en opportunités réelles pour les CSM.</t>
  </si>
  <si>
    <t>Objectif : Rendre nos clients plus autonomes</t>
  </si>
  <si>
    <t>KR 1 : Réduire de 15% le Ratio de tickets entrants liés à la configuration de base (grâce au nouveau contenu) par rapport au volume moyen du Q1</t>
  </si>
  <si>
    <t>KR 2 : Réduire de 20% les relances clients sur les thématiques couvertes par les nouveaux contenus</t>
  </si>
  <si>
    <t>Traitement de toute demande entrante avec deleguation sur le  bon acteur</t>
  </si>
  <si>
    <t xml:space="preserve"> </t>
  </si>
  <si>
    <t xml:space="preserve">Relance client avant fermeture </t>
  </si>
  <si>
    <t>Relance service produit sur tickets Jira</t>
  </si>
  <si>
    <t>Checklist / controle technique sur Hubspot</t>
  </si>
  <si>
    <t>Passe / assignation des tickets aux CSM pour action d'accompagnement apres passe de pertinence</t>
  </si>
  <si>
    <t>Revoir et simplifier le guide d'installation</t>
  </si>
  <si>
    <t>Check FAQ constant en retour des chats</t>
  </si>
  <si>
    <t>Realisation de videos courtes sur les "top thématiques"</t>
  </si>
  <si>
    <t>Alimentation a Clara</t>
  </si>
  <si>
    <t>collaboration inter-services en particulier le service produit</t>
  </si>
  <si>
    <t>Focus sur deux types de clients : Rouge et VIC</t>
  </si>
  <si>
    <t>Dterminer le nombre de rouge a sortir.</t>
  </si>
  <si>
    <t>Réaliser Contrôles Techniques (CT) sur des comptes à risque (rouge) ou stratégiques (VIC)</t>
  </si>
  <si>
    <t>Paramétrage de l'agent IA pour automatiser le diagnostic des 'Contrôles Techniques'</t>
  </si>
  <si>
    <t>mettre en place la bibliotheque de prompts.</t>
  </si>
  <si>
    <t>Check Up a faire :</t>
  </si>
  <si>
    <t>Benjamin Thos - leclerc phare de l'europe.</t>
  </si>
  <si>
    <t>Laurence Hubert Scaso</t>
  </si>
  <si>
    <t>melanie.krzyzanowski@groupe-eychenne.com</t>
  </si>
  <si>
    <t>jlissajoux@syxperiane.com</t>
  </si>
  <si>
    <t>🚀</t>
  </si>
  <si>
    <t xml:space="preserve">| 771 clients | 169840 users | 51300 UR | 4,15 M ARR | 42 VIC | </t>
  </si>
  <si>
    <t>Semaine 14</t>
  </si>
  <si>
    <t>Semaine 15</t>
  </si>
  <si>
    <t>Semaine 16</t>
  </si>
  <si>
    <t>Moyenne d'utilisateurs régulier du portefeuille</t>
  </si>
  <si>
    <t>Pour transformer nos VIC en ambassadeurs</t>
  </si>
  <si>
    <t>Sortir les 100 % des VIC du rouge</t>
  </si>
  <si>
    <t>30 tampons ambassadeurs</t>
  </si>
  <si>
    <t>Eviter les churns</t>
  </si>
  <si>
    <t>Sortir 25 du rouge écarlate (de - de 10%UR)</t>
  </si>
  <si>
    <t>Sortir 50 du rouge du portefeuille</t>
  </si>
  <si>
    <t>Relancer, clotûrer, pousser</t>
  </si>
  <si>
    <t>Prise en main des pigeons, CTA, Panopli</t>
  </si>
  <si>
    <t xml:space="preserve">Tickets support à 0 chaque jour </t>
  </si>
  <si>
    <t>Accompagner dans la transition vers ambassadeurs (je sais parler de Steeple et mes stats le montrent)</t>
  </si>
  <si>
    <t>Mise en place du "Tampon Ambassadeur" sur Hubspot</t>
  </si>
  <si>
    <t>Suivi suite participation webinars (appel, proposition de RDV long, quickwin)</t>
  </si>
  <si>
    <t>Sortir clients lancés depuis moins d'un an</t>
  </si>
  <si>
    <t>Webinar thématique (par persona, par app, par secteur d'activité)</t>
  </si>
  <si>
    <t>Analyser usages, proposer solutions</t>
  </si>
  <si>
    <t>Identifier clients VIC internationaux</t>
  </si>
  <si>
    <r>
      <rPr>
        <rFont val="Arial"/>
        <color theme="1"/>
      </rPr>
      <t>Affichez les étapes de l'analyse et le code Python en développant les lignes groupées.</t>
    </r>
  </si>
  <si>
    <r>
      <rPr>
        <rFont val="Arial"/>
        <color theme="1"/>
      </rPr>
      <t>The user wants me to act as an OKR expert and analyze the structure and content of their Q2 OKRs based on the provided data tables.</t>
    </r>
    <r>
      <rPr>
        <rFont val="Arial"/>
        <color theme="1"/>
      </rPr>
      <t xml:space="preserve">
</t>
    </r>
    <r>
      <rPr>
        <rFont val="Arial"/>
        <color theme="1"/>
      </rPr>
      <t>The user has provided several CSV files, which represent different parts of their spreadsheet. I need to load and inspect all relevant files to reconstruct the OKR structure (Objective, Key Results, Actions).</t>
    </r>
    <r>
      <rPr>
        <rFont val="Arial"/>
        <color theme="1"/>
      </rPr>
      <t xml:space="preserve">
</t>
    </r>
    <r>
      <rPr>
        <rFont val="Arial"/>
        <color theme="1"/>
      </rPr>
      <t>The files are:</t>
    </r>
    <r>
      <rPr>
        <rFont val="Arial"/>
        <color theme="1"/>
      </rPr>
      <t xml:space="preserve">
1. </t>
    </r>
    <r>
      <rPr>
        <rFont val="Roboto Mono, Consolas, monospace"/>
        <color rgb="FF0842A0"/>
      </rPr>
      <t>OKR Q2 2026-Elena-A6:I14-v1.csv</t>
    </r>
    <r>
      <rPr>
        <rFont val="Arial"/>
        <color theme="1"/>
      </rPr>
      <t>: This range (A6:I14) seems likely to contain the main OKR structure (Objective and Key Results).</t>
    </r>
    <r>
      <rPr>
        <rFont val="Arial"/>
        <color theme="1"/>
      </rPr>
      <t xml:space="preserve">
2. </t>
    </r>
    <r>
      <rPr>
        <rFont val="Roboto Mono, Consolas, monospace"/>
        <color rgb="FF0842A0"/>
      </rPr>
      <t>OKR Q2 2026-Elena-C18:C27-v1.csv</t>
    </r>
    <r>
      <rPr>
        <rFont val="Arial"/>
        <color theme="1"/>
      </rPr>
      <t>: This range (C18:C27) might contain 'Actions' or another related list.</t>
    </r>
    <r>
      <rPr>
        <rFont val="Arial"/>
        <color theme="1"/>
      </rPr>
      <t xml:space="preserve">
3. </t>
    </r>
    <r>
      <rPr>
        <rFont val="Roboto Mono, Consolas, monospace"/>
        <color rgb="FF0842A0"/>
      </rPr>
      <t>OKR Q2 2026-Elena-B54:G59-v1.csv</t>
    </r>
    <r>
      <rPr>
        <rFont val="Arial"/>
        <color theme="1"/>
      </rPr>
      <t>: This range (B54:G59) is further down and might contain another section, perhaps for a different Objective or a summary.</t>
    </r>
    <r>
      <rPr>
        <rFont val="Arial"/>
        <color theme="1"/>
      </rPr>
      <t xml:space="preserve">
4. </t>
    </r>
    <r>
      <rPr>
        <rFont val="Roboto Mono, Consolas, monospace"/>
        <color rgb="FF0842A0"/>
      </rPr>
      <t>OKR Q2 2026-Elena-C3:I4-v1.csv</t>
    </r>
    <r>
      <rPr>
        <rFont val="Arial"/>
        <color theme="1"/>
      </rPr>
      <t>: This small range (C3:I4) could be a header or a high-level summary.</t>
    </r>
    <r>
      <rPr>
        <rFont val="Arial"/>
        <color theme="1"/>
      </rPr>
      <t xml:space="preserve">
5. </t>
    </r>
    <r>
      <rPr>
        <rFont val="Roboto Mono, Consolas, monospace"/>
        <color rgb="FF0842A0"/>
      </rPr>
      <t>user_selected_range-Elena-D29-v1.csv</t>
    </r>
    <r>
      <rPr>
        <rFont val="Arial"/>
        <color theme="1"/>
      </rPr>
      <t>: A single cell selection, which is likely irrelevant for the structural analysis.</t>
    </r>
    <r>
      <rPr>
        <rFont val="Arial"/>
        <color theme="1"/>
      </rPr>
      <t xml:space="preserve">
</t>
    </r>
    <r>
      <rPr>
        <rFont val="Arial"/>
        <color theme="1"/>
      </rPr>
      <t xml:space="preserve">I'll start by inspecting the potentially main tables: </t>
    </r>
    <r>
      <rPr>
        <rFont val="Roboto Mono, Consolas, monospace"/>
        <color rgb="FF0842A0"/>
      </rPr>
      <t>OKR Q2 2026-Elena-A6:I14-v1.csv</t>
    </r>
    <r>
      <rPr>
        <rFont val="Arial"/>
        <color theme="1"/>
      </rPr>
      <t xml:space="preserve"> and </t>
    </r>
    <r>
      <rPr>
        <rFont val="Roboto Mono, Consolas, monospace"/>
        <color rgb="FF0842A0"/>
      </rPr>
      <t>OKR Q2 2026-Elena-C18:C27-v1.csv</t>
    </r>
    <r>
      <rPr>
        <rFont val="Arial"/>
        <color theme="1"/>
      </rPr>
      <t>.</t>
    </r>
    <r>
      <rPr>
        <rFont val="Arial"/>
        <color theme="1"/>
      </rPr>
      <t xml:space="preserve">
</t>
    </r>
    <r>
      <rPr>
        <rFont val="Arial"/>
        <b/>
        <color theme="1"/>
      </rPr>
      <t>Step 1: Load and inspect the main potential OKR table (</t>
    </r>
    <r>
      <rPr>
        <rFont val="Roboto Mono, Consolas, monospace"/>
        <color rgb="FF0842A0"/>
      </rPr>
      <t>OKR Q2 2026-Elena-A6:I14-v1.csv</t>
    </r>
    <r>
      <rPr>
        <rFont val="Arial"/>
        <color theme="1"/>
      </rPr>
      <t>)</t>
    </r>
    <r>
      <rPr>
        <rFont val="Arial"/>
        <color theme="1"/>
      </rPr>
      <t xml:space="preserve">
</t>
    </r>
    <r>
      <rPr>
        <rFont val="Arial"/>
        <color theme="1"/>
      </rPr>
      <t>This table is likely to contain the Objective (O) and Key Results (KR).</t>
    </r>
  </si>
  <si>
    <t>import pandas as pd
# Load the file that seems to contain the main OKR structure (A6:I14)
df_okr_main = pd.read_csv('OKR Q2 2026-Elena-A6:I14-v1.csv')
# Load the file that seems to contain actions or another list (C18:C27)
df_actions = pd.read_csv('OKR Q2 2026-Elena-C18:C27-v1.csv')
print("--- df_okr_main (A6:I14) ---")
print(df_okr_main.head().to_markdown(index=False, numalign="left", stralign="left"))
print(df_okr_main.info())
print("\n--- df_actions (C18:C27) ---")
print(df_actions.head().to_markdown(index=False, numalign="left", stralign="left"))
print(df_actions.info())</t>
  </si>
  <si>
    <r>
      <rPr>
        <rFont val="Arial"/>
        <b/>
        <color theme="1"/>
      </rPr>
      <t xml:space="preserve">Analysis of </t>
    </r>
    <r>
      <rPr>
        <rFont val="Roboto Mono, Consolas, monospace"/>
        <color rgb="FF0842A0"/>
      </rPr>
      <t>df_okr_main</t>
    </r>
    <r>
      <rPr>
        <rFont val="Arial"/>
        <color theme="1"/>
      </rPr>
      <t xml:space="preserve"> (A6:I14):</t>
    </r>
    <r>
      <rPr>
        <rFont val="Arial"/>
        <color theme="1"/>
      </rPr>
      <t xml:space="preserve">
• </t>
    </r>
    <r>
      <rPr>
        <rFont val="Arial"/>
        <b/>
        <color theme="1"/>
      </rPr>
      <t>Objective 1:</t>
    </r>
    <r>
      <rPr>
        <rFont val="Arial"/>
        <color theme="1"/>
      </rPr>
      <t xml:space="preserve"> The header is </t>
    </r>
    <r>
      <rPr>
        <rFont val="Roboto Mono, Consolas, monospace"/>
        <color rgb="FF0842A0"/>
      </rPr>
      <t>0 trucs qui trainent</t>
    </r>
    <r>
      <rPr>
        <rFont val="Arial"/>
        <color theme="1"/>
      </rPr>
      <t xml:space="preserve"> which is not very inspiring, but the column header is </t>
    </r>
    <r>
      <rPr>
        <rFont val="Roboto Mono, Consolas, monospace"/>
        <color rgb="FF0842A0"/>
      </rPr>
      <t>Objectif 1</t>
    </r>
    <r>
      <rPr>
        <rFont val="Arial"/>
        <color theme="1"/>
      </rPr>
      <t>. Let's assume the Objective is row 0: "Objectif 1" column shows "Objectif 1" and the second column shows "0 trucs qui trainent". This is the Objective's title.</t>
    </r>
    <r>
      <rPr>
        <rFont val="Arial"/>
        <color theme="1"/>
      </rPr>
      <t xml:space="preserve">
  • </t>
    </r>
    <r>
      <rPr>
        <rFont val="Arial"/>
        <b/>
        <color theme="1"/>
      </rPr>
      <t>Objective 1 (O):</t>
    </r>
    <r>
      <rPr>
        <rFont val="Arial"/>
        <color theme="1"/>
      </rPr>
      <t xml:space="preserve"> "0 trucs qui trainent" (0 things dragging on). </t>
    </r>
    <r>
      <rPr>
        <rFont val="Arial"/>
        <i/>
        <color theme="1"/>
      </rPr>
      <t>This is quite dry and operational, not very ambitious or inspiring, but I will flag this in the recommendations.</t>
    </r>
    <r>
      <rPr>
        <rFont val="Arial"/>
        <color theme="1"/>
      </rPr>
      <t xml:space="preserve">
• </t>
    </r>
    <r>
      <rPr>
        <rFont val="Arial"/>
        <b/>
        <color theme="1"/>
      </rPr>
      <t>Key Results for Objective 1:</t>
    </r>
    <r>
      <rPr>
        <rFont val="Arial"/>
        <color theme="1"/>
      </rPr>
      <t xml:space="preserve">
  • </t>
    </r>
    <r>
      <rPr>
        <rFont val="Arial"/>
        <b/>
        <color theme="1"/>
      </rPr>
      <t>KR 1:</t>
    </r>
    <r>
      <rPr>
        <rFont val="Arial"/>
        <color theme="1"/>
      </rPr>
      <t xml:space="preserve"> </t>
    </r>
    <r>
      <rPr>
        <rFont val="Roboto Mono, Consolas, monospace"/>
        <color rgb="FF0842A0"/>
      </rPr>
      <t>0 ticket Onboarding de +2 mois</t>
    </r>
    <r>
      <rPr>
        <rFont val="Arial"/>
        <color theme="1"/>
      </rPr>
      <t xml:space="preserve">. Metrics are </t>
    </r>
    <r>
      <rPr>
        <rFont val="Roboto Mono, Consolas, monospace"/>
        <color rgb="FF0842A0"/>
      </rPr>
      <t>Départ</t>
    </r>
    <r>
      <rPr>
        <rFont val="Arial"/>
        <color theme="1"/>
      </rPr>
      <t xml:space="preserve"> (11), </t>
    </r>
    <r>
      <rPr>
        <rFont val="Roboto Mono, Consolas, monospace"/>
        <color rgb="FF0842A0"/>
      </rPr>
      <t>Valeur actuelle</t>
    </r>
    <r>
      <rPr>
        <rFont val="Arial"/>
        <color theme="1"/>
      </rPr>
      <t xml:space="preserve"> (10), </t>
    </r>
    <r>
      <rPr>
        <rFont val="Roboto Mono, Consolas, monospace"/>
        <color rgb="FF0842A0"/>
      </rPr>
      <t>Cible</t>
    </r>
    <r>
      <rPr>
        <rFont val="Arial"/>
        <color theme="1"/>
      </rPr>
      <t xml:space="preserve"> (0). </t>
    </r>
    <r>
      <rPr>
        <rFont val="Arial"/>
        <b/>
        <color theme="1"/>
      </rPr>
      <t>This is a measurable impact.</t>
    </r>
    <r>
      <rPr>
        <rFont val="Arial"/>
        <color theme="1"/>
      </rPr>
      <t xml:space="preserve"> (Good KR)</t>
    </r>
    <r>
      <rPr>
        <rFont val="Arial"/>
        <color theme="1"/>
      </rPr>
      <t xml:space="preserve">
  • </t>
    </r>
    <r>
      <rPr>
        <rFont val="Arial"/>
        <b/>
        <color theme="1"/>
      </rPr>
      <t>KR 2:</t>
    </r>
    <r>
      <rPr>
        <rFont val="Arial"/>
        <color theme="1"/>
      </rPr>
      <t xml:space="preserve"> </t>
    </r>
    <r>
      <rPr>
        <rFont val="Roboto Mono, Consolas, monospace"/>
        <color rgb="FF0842A0"/>
      </rPr>
      <t>Avoir 0 tickets support +1 mois</t>
    </r>
    <r>
      <rPr>
        <rFont val="Arial"/>
        <color theme="1"/>
      </rPr>
      <t xml:space="preserve">. Metrics are </t>
    </r>
    <r>
      <rPr>
        <rFont val="Roboto Mono, Consolas, monospace"/>
        <color rgb="FF0842A0"/>
      </rPr>
      <t>Départ</t>
    </r>
    <r>
      <rPr>
        <rFont val="Arial"/>
        <color theme="1"/>
      </rPr>
      <t xml:space="preserve"> (1), </t>
    </r>
    <r>
      <rPr>
        <rFont val="Roboto Mono, Consolas, monospace"/>
        <color rgb="FF0842A0"/>
      </rPr>
      <t>Valeur actuelle</t>
    </r>
    <r>
      <rPr>
        <rFont val="Arial"/>
        <color theme="1"/>
      </rPr>
      <t xml:space="preserve"> (1), </t>
    </r>
    <r>
      <rPr>
        <rFont val="Roboto Mono, Consolas, monospace"/>
        <color rgb="FF0842A0"/>
      </rPr>
      <t>Cible</t>
    </r>
    <r>
      <rPr>
        <rFont val="Arial"/>
        <color theme="1"/>
      </rPr>
      <t xml:space="preserve"> (0). </t>
    </r>
    <r>
      <rPr>
        <rFont val="Arial"/>
        <b/>
        <color theme="1"/>
      </rPr>
      <t>This is a measurable impact.</t>
    </r>
    <r>
      <rPr>
        <rFont val="Arial"/>
        <color theme="1"/>
      </rPr>
      <t xml:space="preserve"> (Good KR)</t>
    </r>
    <r>
      <rPr>
        <rFont val="Arial"/>
        <color theme="1"/>
      </rPr>
      <t xml:space="preserve">
• </t>
    </r>
    <r>
      <rPr>
        <rFont val="Arial"/>
        <b/>
        <color theme="1"/>
      </rPr>
      <t>Objective 2:</t>
    </r>
    <r>
      <rPr>
        <rFont val="Arial"/>
        <color theme="1"/>
      </rPr>
      <t xml:space="preserve">
  • </t>
    </r>
    <r>
      <rPr>
        <rFont val="Arial"/>
        <b/>
        <color theme="1"/>
      </rPr>
      <t>Objective 2 (O):</t>
    </r>
    <r>
      <rPr>
        <rFont val="Arial"/>
        <color theme="1"/>
      </rPr>
      <t xml:space="preserve"> "Pour transformer nos VIC en ambassadeurs" (To transform our VIC into ambassadors). </t>
    </r>
    <r>
      <rPr>
        <rFont val="Arial"/>
        <i/>
        <color theme="1"/>
      </rPr>
      <t>This is a good, inspiring, and impact-focused objective.</t>
    </r>
    <r>
      <rPr>
        <rFont val="Arial"/>
        <color theme="1"/>
      </rPr>
      <t xml:space="preserve">
• </t>
    </r>
    <r>
      <rPr>
        <rFont val="Arial"/>
        <b/>
        <color theme="1"/>
      </rPr>
      <t>Key Results for Objective 2:</t>
    </r>
    <r>
      <rPr>
        <rFont val="Arial"/>
        <color theme="1"/>
      </rPr>
      <t xml:space="preserve">
  • </t>
    </r>
    <r>
      <rPr>
        <rFont val="Arial"/>
        <b/>
        <color theme="1"/>
      </rPr>
      <t>KR 1:</t>
    </r>
    <r>
      <rPr>
        <rFont val="Arial"/>
        <color theme="1"/>
      </rPr>
      <t xml:space="preserve"> </t>
    </r>
    <r>
      <rPr>
        <rFont val="Roboto Mono, Consolas, monospace"/>
        <color rgb="FF0842A0"/>
      </rPr>
      <t>Sortir les 100 % des VIC du rouge</t>
    </r>
    <r>
      <rPr>
        <rFont val="Arial"/>
        <color theme="1"/>
      </rPr>
      <t xml:space="preserve">. Metrics are </t>
    </r>
    <r>
      <rPr>
        <rFont val="Roboto Mono, Consolas, monospace"/>
        <color rgb="FF0842A0"/>
      </rPr>
      <t>Départ</t>
    </r>
    <r>
      <rPr>
        <rFont val="Arial"/>
        <color theme="1"/>
      </rPr>
      <t xml:space="preserve"> (21%), </t>
    </r>
    <r>
      <rPr>
        <rFont val="Roboto Mono, Consolas, monospace"/>
        <color rgb="FF0842A0"/>
      </rPr>
      <t>Valeur actuelle</t>
    </r>
    <r>
      <rPr>
        <rFont val="Arial"/>
        <color theme="1"/>
      </rPr>
      <t xml:space="preserve"> (18%), </t>
    </r>
    <r>
      <rPr>
        <rFont val="Roboto Mono, Consolas, monospace"/>
        <color rgb="FF0842A0"/>
      </rPr>
      <t>Cible</t>
    </r>
    <r>
      <rPr>
        <rFont val="Arial"/>
        <color theme="1"/>
      </rPr>
      <t xml:space="preserve"> (0%). </t>
    </r>
    <r>
      <rPr>
        <rFont val="Arial"/>
        <b/>
        <color theme="1"/>
      </rPr>
      <t>This is a measurable impact (percentage of VIC out of 'red' status).</t>
    </r>
    <r>
      <rPr>
        <rFont val="Arial"/>
        <color theme="1"/>
      </rPr>
      <t xml:space="preserve"> (Good KR)</t>
    </r>
    <r>
      <rPr>
        <rFont val="Arial"/>
        <color theme="1"/>
      </rPr>
      <t xml:space="preserve">
  • </t>
    </r>
    <r>
      <rPr>
        <rFont val="Arial"/>
        <b/>
        <color theme="1"/>
      </rPr>
      <t>KR 2:</t>
    </r>
    <r>
      <rPr>
        <rFont val="Arial"/>
        <color theme="1"/>
      </rPr>
      <t xml:space="preserve"> </t>
    </r>
    <r>
      <rPr>
        <rFont val="Roboto Mono, Consolas, monospace"/>
        <color rgb="FF0842A0"/>
      </rPr>
      <t>75% tampons ambassadeurs</t>
    </r>
    <r>
      <rPr>
        <rFont val="Arial"/>
        <color theme="1"/>
      </rPr>
      <t xml:space="preserve">. Metrics are </t>
    </r>
    <r>
      <rPr>
        <rFont val="Roboto Mono, Consolas, monospace"/>
        <color rgb="FF0842A0"/>
      </rPr>
      <t>Départ</t>
    </r>
    <r>
      <rPr>
        <rFont val="Arial"/>
        <color theme="1"/>
      </rPr>
      <t xml:space="preserve"> (21%), </t>
    </r>
    <r>
      <rPr>
        <rFont val="Roboto Mono, Consolas, monospace"/>
        <color rgb="FF0842A0"/>
      </rPr>
      <t>Valeur actuelle</t>
    </r>
    <r>
      <rPr>
        <rFont val="Arial"/>
        <color theme="1"/>
      </rPr>
      <t xml:space="preserve"> (20%), </t>
    </r>
    <r>
      <rPr>
        <rFont val="Roboto Mono, Consolas, monospace"/>
        <color rgb="FF0842A0"/>
      </rPr>
      <t>Cible</t>
    </r>
    <r>
      <rPr>
        <rFont val="Arial"/>
        <color theme="1"/>
      </rPr>
      <t xml:space="preserve"> (75%). </t>
    </r>
    <r>
      <rPr>
        <rFont val="Arial"/>
        <b/>
        <color theme="1"/>
      </rPr>
      <t>This is a measurable impact (percentage of VIC with 'Ambassador Stamp').</t>
    </r>
    <r>
      <rPr>
        <rFont val="Arial"/>
        <color theme="1"/>
      </rPr>
      <t xml:space="preserve"> (Good KR)</t>
    </r>
    <r>
      <rPr>
        <rFont val="Arial"/>
        <color theme="1"/>
      </rPr>
      <t xml:space="preserve">
</t>
    </r>
    <r>
      <rPr>
        <rFont val="Arial"/>
        <b/>
        <color theme="1"/>
      </rPr>
      <t xml:space="preserve">Analysis of </t>
    </r>
    <r>
      <rPr>
        <rFont val="Roboto Mono, Consolas, monospace"/>
        <color rgb="FF0842A0"/>
      </rPr>
      <t>df_actions</t>
    </r>
    <r>
      <rPr>
        <rFont val="Arial"/>
        <color theme="1"/>
      </rPr>
      <t xml:space="preserve"> (C18:C27):</t>
    </r>
    <r>
      <rPr>
        <rFont val="Arial"/>
        <color theme="1"/>
      </rPr>
      <t xml:space="preserve">
</t>
    </r>
    <r>
      <rPr>
        <rFont val="Arial"/>
        <color theme="1"/>
      </rPr>
      <t>This table seems to be a list of Actions/Initiatives, as it contains items that are tasks:</t>
    </r>
    <r>
      <rPr>
        <rFont val="Arial"/>
        <color theme="1"/>
      </rPr>
      <t xml:space="preserve">
• </t>
    </r>
    <r>
      <rPr>
        <rFont val="Roboto Mono, Consolas, monospace"/>
        <color rgb="FF0842A0"/>
      </rPr>
      <t>Relancer, clotûrer, pousser</t>
    </r>
    <r>
      <rPr>
        <rFont val="Arial"/>
        <color theme="1"/>
      </rPr>
      <t xml:space="preserve"> (Relaunch, close, push) -&gt; </t>
    </r>
    <r>
      <rPr>
        <rFont val="Arial"/>
        <b/>
        <color theme="1"/>
      </rPr>
      <t>Action</t>
    </r>
    <r>
      <rPr>
        <rFont val="Arial"/>
        <color theme="1"/>
      </rPr>
      <t xml:space="preserve">
• </t>
    </r>
    <r>
      <rPr>
        <rFont val="Roboto Mono, Consolas, monospace"/>
        <color rgb="FF0842A0"/>
      </rPr>
      <t>Prise en main des pigeons, CTA, Panopli</t>
    </r>
    <r>
      <rPr>
        <rFont val="Arial"/>
        <color theme="1"/>
      </rPr>
      <t xml:space="preserve"> (Handling of 'pigeons' (likely a tool/project name), CTA, Panopli) -&gt; </t>
    </r>
    <r>
      <rPr>
        <rFont val="Arial"/>
        <b/>
        <color theme="1"/>
      </rPr>
      <t>Action</t>
    </r>
    <r>
      <rPr>
        <rFont val="Arial"/>
        <color theme="1"/>
      </rPr>
      <t xml:space="preserve">
• </t>
    </r>
    <r>
      <rPr>
        <rFont val="Roboto Mono, Consolas, monospace"/>
        <color rgb="FF0842A0"/>
      </rPr>
      <t>Tickets support à 0 chaque jour</t>
    </r>
    <r>
      <rPr>
        <rFont val="Arial"/>
        <color theme="1"/>
      </rPr>
      <t xml:space="preserve"> (Support tickets at 0 every day) -&gt; This is more a </t>
    </r>
    <r>
      <rPr>
        <rFont val="Arial"/>
        <b/>
        <color theme="1"/>
      </rPr>
      <t>daily goal/tâche</t>
    </r>
    <r>
      <rPr>
        <rFont val="Arial"/>
        <color theme="1"/>
      </rPr>
      <t xml:space="preserve">, not a high-level impact. It's a way to </t>
    </r>
    <r>
      <rPr>
        <rFont val="Arial"/>
        <i/>
        <color theme="1"/>
      </rPr>
      <t>achieve</t>
    </r>
    <r>
      <rPr>
        <rFont val="Arial"/>
        <color theme="1"/>
      </rPr>
      <t xml:space="preserve"> the KR "Avoir 0 tickets support +1 mois". </t>
    </r>
    <r>
      <rPr>
        <rFont val="Arial"/>
        <b/>
        <color theme="1"/>
      </rPr>
      <t>It is an Action/Initiative.</t>
    </r>
    <r>
      <rPr>
        <rFont val="Arial"/>
        <color theme="1"/>
      </rPr>
      <t xml:space="preserve">
• </t>
    </r>
    <r>
      <rPr>
        <rFont val="Roboto Mono, Consolas, monospace"/>
        <color rgb="FF0842A0"/>
      </rPr>
      <t>Accompagner dans la transition vers ambassadeurs (je sais parler de Steeple et mes stats le montrent)</t>
    </r>
    <r>
      <rPr>
        <rFont val="Arial"/>
        <color theme="1"/>
      </rPr>
      <t xml:space="preserve"> (Accompany in the transition to ambassadors...) -&gt; </t>
    </r>
    <r>
      <rPr>
        <rFont val="Arial"/>
        <b/>
        <color theme="1"/>
      </rPr>
      <t>Action</t>
    </r>
    <r>
      <rPr>
        <rFont val="Arial"/>
        <color theme="1"/>
      </rPr>
      <t xml:space="preserve">
• </t>
    </r>
    <r>
      <rPr>
        <rFont val="Roboto Mono, Consolas, monospace"/>
        <color rgb="FF0842A0"/>
      </rPr>
      <t>Mise en place du "Tampon Ambassadeur" sur Hubspot</t>
    </r>
    <r>
      <rPr>
        <rFont val="Arial"/>
        <color theme="1"/>
      </rPr>
      <t xml:space="preserve"> (Implementation of the "Ambassador Stamp" on Hubspot) -&gt; </t>
    </r>
    <r>
      <rPr>
        <rFont val="Arial"/>
        <b/>
        <color theme="1"/>
      </rPr>
      <t>Action</t>
    </r>
    <r>
      <rPr>
        <rFont val="Arial"/>
        <color theme="1"/>
      </rPr>
      <t xml:space="preserve">
• </t>
    </r>
    <r>
      <rPr>
        <rFont val="Roboto Mono, Consolas, monospace"/>
        <color rgb="FF0842A0"/>
      </rPr>
      <t>Suivi suite participation webinars (appel, proposition de RDV long, quickwin)</t>
    </r>
    <r>
      <rPr>
        <rFont val="Arial"/>
        <color theme="1"/>
      </rPr>
      <t xml:space="preserve"> (Follow-up after webinar participation...) -&gt; </t>
    </r>
    <r>
      <rPr>
        <rFont val="Arial"/>
        <b/>
        <color theme="1"/>
      </rPr>
      <t>Action</t>
    </r>
    <r>
      <rPr>
        <rFont val="Arial"/>
        <color theme="1"/>
      </rPr>
      <t xml:space="preserve">
</t>
    </r>
    <r>
      <rPr>
        <rFont val="Arial"/>
        <b/>
        <color theme="1"/>
      </rPr>
      <t>Synthesis and OKR Analysis:</t>
    </r>
    <r>
      <rPr>
        <rFont val="Arial"/>
        <color theme="1"/>
      </rPr>
      <t xml:space="preserve">
• </t>
    </r>
    <r>
      <rPr>
        <rFont val="Arial"/>
        <b/>
        <color theme="1"/>
      </rPr>
      <t>Structure:</t>
    </r>
    <r>
      <rPr>
        <rFont val="Arial"/>
        <color theme="1"/>
      </rPr>
      <t xml:space="preserve"> The structure is clear: Objective, Key Results (measurable), and a separate list of Actions. This respects the OKR methodology.</t>
    </r>
    <r>
      <rPr>
        <rFont val="Arial"/>
        <color theme="1"/>
      </rPr>
      <t xml:space="preserve">
• </t>
    </r>
    <r>
      <rPr>
        <rFont val="Arial"/>
        <b/>
        <color theme="1"/>
      </rPr>
      <t>Decoupling (KR vs. Actions):</t>
    </r>
    <r>
      <rPr>
        <rFont val="Arial"/>
        <color theme="1"/>
      </rPr>
      <t xml:space="preserve">
  • </t>
    </r>
    <r>
      <rPr>
        <rFont val="Arial"/>
        <b/>
        <color theme="1"/>
      </rPr>
      <t>KR1 &amp; KR2 for Obj 1</t>
    </r>
    <r>
      <rPr>
        <rFont val="Arial"/>
        <color theme="1"/>
      </rPr>
      <t xml:space="preserve"> are clearly KRs (0 tickets of a certain age).</t>
    </r>
    <r>
      <rPr>
        <rFont val="Arial"/>
        <color theme="1"/>
      </rPr>
      <t xml:space="preserve">
  • </t>
    </r>
    <r>
      <rPr>
        <rFont val="Arial"/>
        <b/>
        <color theme="1"/>
      </rPr>
      <t>KR1 &amp; KR2 for Obj 2</t>
    </r>
    <r>
      <rPr>
        <rFont val="Arial"/>
        <color theme="1"/>
      </rPr>
      <t xml:space="preserve"> are clearly KRs (percentage of VIC out of red, percentage with ambassador stamp).</t>
    </r>
    <r>
      <rPr>
        <rFont val="Arial"/>
        <color theme="1"/>
      </rPr>
      <t xml:space="preserve">
  • </t>
    </r>
    <r>
      <rPr>
        <rFont val="Arial"/>
        <color theme="1"/>
      </rPr>
      <t xml:space="preserve">The items in </t>
    </r>
    <r>
      <rPr>
        <rFont val="Roboto Mono, Consolas, monospace"/>
        <color rgb="FF0842A0"/>
      </rPr>
      <t>df_actions</t>
    </r>
    <r>
      <rPr>
        <rFont val="Arial"/>
        <color theme="1"/>
      </rPr>
      <t xml:space="preserve"> are correctly identified as </t>
    </r>
    <r>
      <rPr>
        <rFont val="Arial"/>
        <b/>
        <color theme="1"/>
      </rPr>
      <t>Actions/Initiatives</t>
    </r>
    <r>
      <rPr>
        <rFont val="Arial"/>
        <color theme="1"/>
      </rPr>
      <t xml:space="preserve"> that will drive the KRs.</t>
    </r>
    <r>
      <rPr>
        <rFont val="Arial"/>
        <color theme="1"/>
      </rPr>
      <t xml:space="preserve">
  • </t>
    </r>
    <r>
      <rPr>
        <rFont val="Arial"/>
        <b/>
        <color theme="1"/>
      </rPr>
      <t>Verdict:</t>
    </r>
    <r>
      <rPr>
        <rFont val="Arial"/>
        <color theme="1"/>
      </rPr>
      <t xml:space="preserve"> The decoupling is excellent. The KRs measure </t>
    </r>
    <r>
      <rPr>
        <rFont val="Arial"/>
        <i/>
        <color theme="1"/>
      </rPr>
      <t>impact</t>
    </r>
    <r>
      <rPr>
        <rFont val="Arial"/>
        <color theme="1"/>
      </rPr>
      <t xml:space="preserve">, and the Actions describe </t>
    </r>
    <r>
      <rPr>
        <rFont val="Arial"/>
        <i/>
        <color theme="1"/>
      </rPr>
      <t>work</t>
    </r>
    <r>
      <rPr>
        <rFont val="Arial"/>
        <color theme="1"/>
      </rPr>
      <t>.</t>
    </r>
    <r>
      <rPr>
        <rFont val="Arial"/>
        <color theme="1"/>
      </rPr>
      <t xml:space="preserve">
• </t>
    </r>
    <r>
      <rPr>
        <rFont val="Arial"/>
        <b/>
        <color theme="1"/>
      </rPr>
      <t>Alignment:</t>
    </r>
    <r>
      <rPr>
        <rFont val="Arial"/>
        <color theme="1"/>
      </rPr>
      <t xml:space="preserve">
  • </t>
    </r>
    <r>
      <rPr>
        <rFont val="Arial"/>
        <b/>
        <color theme="1"/>
      </rPr>
      <t>Objective 1: "0 trucs qui trainent"</t>
    </r>
    <r>
      <rPr>
        <rFont val="Arial"/>
        <color theme="1"/>
      </rPr>
      <t xml:space="preserve"> -&gt; </t>
    </r>
    <r>
      <rPr>
        <rFont val="Arial"/>
        <b/>
        <color theme="1"/>
      </rPr>
      <t>KRs (0 old tickets):</t>
    </r>
    <r>
      <rPr>
        <rFont val="Arial"/>
        <color theme="1"/>
      </rPr>
      <t xml:space="preserve"> Perfect alignment. The KRs directly measure the 'no things dragging on' impact on the support/onboarding backlog.</t>
    </r>
    <r>
      <rPr>
        <rFont val="Arial"/>
        <color theme="1"/>
      </rPr>
      <t xml:space="preserve">
  • </t>
    </r>
    <r>
      <rPr>
        <rFont val="Arial"/>
        <b/>
        <color theme="1"/>
      </rPr>
      <t>Objective 2: "Pour transformer nos VIC en ambassadeurs"</t>
    </r>
    <r>
      <rPr>
        <rFont val="Arial"/>
        <color theme="1"/>
      </rPr>
      <t xml:space="preserve"> -&gt; </t>
    </r>
    <r>
      <rPr>
        <rFont val="Arial"/>
        <b/>
        <color theme="1"/>
      </rPr>
      <t>KRs (VIC out of red, % with ambassador stamp):</t>
    </r>
    <r>
      <rPr>
        <rFont val="Arial"/>
        <color theme="1"/>
      </rPr>
      <t xml:space="preserve"> Perfect alignment. Being out of the 'red' and getting the 'Ambassador Stamp' are the direct, measurable signs of the transformation into an ambassador.</t>
    </r>
    <r>
      <rPr>
        <rFont val="Arial"/>
        <color theme="1"/>
      </rPr>
      <t xml:space="preserve">
• </t>
    </r>
    <r>
      <rPr>
        <rFont val="Arial"/>
        <b/>
        <color theme="1"/>
      </rPr>
      <t>Challenge:</t>
    </r>
    <r>
      <rPr>
        <rFont val="Arial"/>
        <color theme="1"/>
      </rPr>
      <t xml:space="preserve">
  • </t>
    </r>
    <r>
      <rPr>
        <rFont val="Arial"/>
        <b/>
        <color theme="1"/>
      </rPr>
      <t>Objective 1 KRs:</t>
    </r>
    <r>
      <rPr>
        <rFont val="Arial"/>
        <color theme="1"/>
      </rPr>
      <t xml:space="preserve"> The target is 0 for both KRs. This is highly challenging, especially going from 11 to 0 for KR1. This is ambitious and good.</t>
    </r>
    <r>
      <rPr>
        <rFont val="Arial"/>
        <color theme="1"/>
      </rPr>
      <t xml:space="preserve">
  • </t>
    </r>
    <r>
      <rPr>
        <rFont val="Arial"/>
        <b/>
        <color theme="1"/>
      </rPr>
      <t>Objective 2 KR1:</t>
    </r>
    <r>
      <rPr>
        <rFont val="Arial"/>
        <color theme="1"/>
      </rPr>
      <t xml:space="preserve"> Target is 0% red, starting from 18% current. This is also very challenging (100% success). Good.</t>
    </r>
    <r>
      <rPr>
        <rFont val="Arial"/>
        <color theme="1"/>
      </rPr>
      <t xml:space="preserve">
  • </t>
    </r>
    <r>
      <rPr>
        <rFont val="Arial"/>
        <b/>
        <color theme="1"/>
      </rPr>
      <t>Objective 2 KR2:</t>
    </r>
    <r>
      <rPr>
        <rFont val="Arial"/>
        <color theme="1"/>
      </rPr>
      <t xml:space="preserve"> Target is 75%, starting from 20% current. This is a massive jump (55 points). </t>
    </r>
    <r>
      <rPr>
        <rFont val="Arial"/>
        <b/>
        <color theme="1"/>
      </rPr>
      <t>This is very ambitious and good.</t>
    </r>
    <r>
      <rPr>
        <rFont val="Arial"/>
        <color theme="1"/>
      </rPr>
      <t xml:space="preserve">
  • </t>
    </r>
    <r>
      <rPr>
        <rFont val="Arial"/>
        <b/>
        <color theme="1"/>
      </rPr>
      <t>Objective 1 Title:</t>
    </r>
    <r>
      <rPr>
        <rFont val="Arial"/>
        <color theme="1"/>
      </rPr>
      <t xml:space="preserve"> The title "0 trucs qui trainent" is the only weak point on the ambition/inspiration front.</t>
    </r>
    <r>
      <rPr>
        <rFont val="Arial"/>
        <color theme="1"/>
      </rPr>
      <t xml:space="preserve">
</t>
    </r>
    <r>
      <rPr>
        <rFont val="Arial"/>
        <b/>
        <color theme="1"/>
      </rPr>
      <t>Plan for Response:</t>
    </r>
    <r>
      <rPr>
        <rFont val="Arial"/>
        <color theme="1"/>
      </rPr>
      <t xml:space="preserve">
1. </t>
    </r>
    <r>
      <rPr>
        <rFont val="Arial"/>
        <b/>
        <color theme="1"/>
      </rPr>
      <t>Diagnostic de forme:</t>
    </r>
    <r>
      <rPr>
        <rFont val="Arial"/>
        <color theme="1"/>
      </rPr>
      <t xml:space="preserve"> Confirm structure is respected (O, KR, Actions distinct).</t>
    </r>
    <r>
      <rPr>
        <rFont val="Arial"/>
        <color theme="1"/>
      </rPr>
      <t xml:space="preserve">
2. </t>
    </r>
    <r>
      <rPr>
        <rFont val="Arial"/>
        <b/>
        <color theme="1"/>
      </rPr>
      <t>Analyse critique:</t>
    </r>
    <r>
      <rPr>
        <rFont val="Arial"/>
        <color theme="1"/>
      </rPr>
      <t xml:space="preserve">
  • </t>
    </r>
    <r>
      <rPr>
        <rFont val="Arial"/>
        <b/>
        <color theme="1"/>
      </rPr>
      <t>Points forts:</t>
    </r>
    <r>
      <rPr>
        <rFont val="Arial"/>
        <color theme="1"/>
      </rPr>
      <t xml:space="preserve"> Excellent distinction between KR (impact/chiffre) and Actions (tâches/initiatives). KRs are all measurable and focus on impact. Excellent ambition level (especially KR2 for Obj 2).</t>
    </r>
    <r>
      <rPr>
        <rFont val="Arial"/>
        <color theme="1"/>
      </rPr>
      <t xml:space="preserve">
  • </t>
    </r>
    <r>
      <rPr>
        <rFont val="Arial"/>
        <b/>
        <color theme="1"/>
      </rPr>
      <t>Points de vigilance:</t>
    </r>
    <r>
      <rPr>
        <rFont val="Arial"/>
        <color theme="1"/>
      </rPr>
      <t xml:space="preserve"> Objective 1 title is too operational/dry.</t>
    </r>
    <r>
      <rPr>
        <rFont val="Arial"/>
        <color theme="1"/>
      </rPr>
      <t xml:space="preserve">
3. </t>
    </r>
    <r>
      <rPr>
        <rFont val="Arial"/>
        <b/>
        <color theme="1"/>
      </rPr>
      <t>Recommandations concrètes:</t>
    </r>
    <r>
      <rPr>
        <rFont val="Arial"/>
        <color theme="1"/>
      </rPr>
      <t xml:space="preserve"> Suggest a more inspiring title for Objective 1.</t>
    </r>
    <r>
      <rPr>
        <rFont val="Arial"/>
        <color theme="1"/>
      </rPr>
      <t xml:space="preserve">
</t>
    </r>
    <r>
      <rPr>
        <rFont val="Arial"/>
        <color theme="1"/>
      </rPr>
      <t>I will structure the final response in French as requested.</t>
    </r>
  </si>
  <si>
    <r>
      <rPr>
        <rFont val="Arial"/>
        <color theme="1"/>
      </rPr>
      <t>C'est un excellent exercice d'auto-critique de vos OKR. Agissant en tant qu'expert en méthodologie OKR, voici mon analyse détaillée de votre structure pour ce second trimestre.</t>
    </r>
    <r>
      <rPr>
        <rFont val="Arial"/>
        <color theme="1"/>
      </rPr>
      <t xml:space="preserve">
</t>
    </r>
    <r>
      <rPr>
        <rFont val="Arial"/>
        <b/>
        <color theme="1"/>
        <sz val="24.0"/>
      </rPr>
      <t>Diagnostic de Forme</t>
    </r>
    <r>
      <rPr>
        <rFont val="Arial"/>
        <color theme="1"/>
      </rPr>
      <t xml:space="preserve">
</t>
    </r>
    <r>
      <rPr>
        <rFont val="Arial"/>
        <b/>
        <color theme="1"/>
      </rPr>
      <t>Verdict : La structure est parfaitement respectée et alignée sur les meilleures pratiques OKR.</t>
    </r>
    <r>
      <rPr>
        <rFont val="Arial"/>
        <color theme="1"/>
      </rPr>
      <t xml:space="preserve">
</t>
    </r>
    <r>
      <rPr>
        <rFont val="Arial"/>
        <color theme="1"/>
      </rPr>
      <t>Vous avez réussi à séparer clairement les trois composantes essentielles :</t>
    </r>
    <r>
      <rPr>
        <rFont val="Arial"/>
        <color theme="1"/>
      </rPr>
      <t xml:space="preserve">
• </t>
    </r>
    <r>
      <rPr>
        <rFont val="Arial"/>
        <b/>
        <color theme="1"/>
      </rPr>
      <t>Objectifs (O)</t>
    </r>
    <r>
      <rPr>
        <rFont val="Arial"/>
        <color theme="1"/>
      </rPr>
      <t xml:space="preserve"> : Les grandes ambitions.</t>
    </r>
    <r>
      <rPr>
        <rFont val="Arial"/>
        <color theme="1"/>
      </rPr>
      <t xml:space="preserve">
• </t>
    </r>
    <r>
      <rPr>
        <rFont val="Arial"/>
        <b/>
        <color theme="1"/>
      </rPr>
      <t>Résultats Clés (KR)</t>
    </r>
    <r>
      <rPr>
        <rFont val="Arial"/>
        <color theme="1"/>
      </rPr>
      <t xml:space="preserve"> : Les métriques d'impact chiffrées qui mesurent l'atteinte de l'Objectif.</t>
    </r>
    <r>
      <rPr>
        <rFont val="Arial"/>
        <color theme="1"/>
      </rPr>
      <t xml:space="preserve">
• </t>
    </r>
    <r>
      <rPr>
        <rFont val="Arial"/>
        <b/>
        <color theme="1"/>
      </rPr>
      <t>Actions/Initiatives</t>
    </r>
    <r>
      <rPr>
        <rFont val="Arial"/>
        <color theme="1"/>
      </rPr>
      <t xml:space="preserve"> : Les tâches concrètes que vous allez exécuter pour déplacer les métriques (KR).</t>
    </r>
    <r>
      <rPr>
        <rFont val="Arial"/>
        <color theme="1"/>
      </rPr>
      <t xml:space="preserve">
</t>
    </r>
    <r>
      <rPr>
        <rFont val="Arial"/>
        <color theme="1"/>
      </rPr>
      <t xml:space="preserve">
</t>
    </r>
    <r>
      <rPr>
        <rFont val="Arial"/>
        <b/>
        <color theme="1"/>
        <sz val="24.0"/>
      </rPr>
      <t>Analyse Critique</t>
    </r>
    <r>
      <rPr>
        <rFont val="Arial"/>
        <color theme="1"/>
      </rPr>
      <t xml:space="preserve">
</t>
    </r>
    <r>
      <rPr>
        <rFont val="Arial"/>
        <color theme="1"/>
      </rPr>
      <t xml:space="preserve">
</t>
    </r>
    <r>
      <rPr>
        <rFont val="Arial"/>
        <b/>
        <color theme="1"/>
        <sz val="20.0"/>
      </rPr>
      <t>Points Forts</t>
    </r>
    <r>
      <rPr>
        <rFont val="Arial"/>
        <color theme="1"/>
      </rPr>
      <t xml:space="preserve">
</t>
    </r>
    <r>
      <rPr>
        <rFont val="Arial"/>
        <color theme="1"/>
      </rPr>
      <t xml:space="preserve">
1. </t>
    </r>
    <r>
      <rPr>
        <rFont val="Arial"/>
        <b/>
        <color theme="1"/>
      </rPr>
      <t>Excellente Décorrélation (KR vs. Actions) :</t>
    </r>
    <r>
      <rPr>
        <rFont val="Arial"/>
        <color theme="1"/>
      </rPr>
      <t xml:space="preserve">
  • </t>
    </r>
    <r>
      <rPr>
        <rFont val="Arial"/>
        <color theme="1"/>
      </rPr>
      <t xml:space="preserve">C'est la plus grande réussite de cette structure. Tous vos Résultats Clés (ex. </t>
    </r>
    <r>
      <rPr>
        <rFont val="Arial"/>
        <i/>
        <color theme="1"/>
      </rPr>
      <t>« 0 ticket Onboarding de +2 mois »</t>
    </r>
    <r>
      <rPr>
        <rFont val="Arial"/>
        <color theme="1"/>
      </rPr>
      <t xml:space="preserve">, </t>
    </r>
    <r>
      <rPr>
        <rFont val="Arial"/>
        <i/>
        <color theme="1"/>
      </rPr>
      <t>« Sortir les 100 % des VIC du rouge »</t>
    </r>
    <r>
      <rPr>
        <rFont val="Arial"/>
        <color theme="1"/>
      </rPr>
      <t xml:space="preserve">) sont des mesures d'impact. Ils décrivent un </t>
    </r>
    <r>
      <rPr>
        <rFont val="Arial"/>
        <i/>
        <color theme="1"/>
      </rPr>
      <t>résultat</t>
    </r>
    <r>
      <rPr>
        <rFont val="Arial"/>
        <color theme="1"/>
      </rPr>
      <t xml:space="preserve"> et non un </t>
    </r>
    <r>
      <rPr>
        <rFont val="Arial"/>
        <i/>
        <color theme="1"/>
      </rPr>
      <t>effort</t>
    </r>
    <r>
      <rPr>
        <rFont val="Arial"/>
        <color theme="1"/>
      </rPr>
      <t>.</t>
    </r>
    <r>
      <rPr>
        <rFont val="Arial"/>
        <color theme="1"/>
      </rPr>
      <t xml:space="preserve">
  • </t>
    </r>
    <r>
      <rPr>
        <rFont val="Arial"/>
        <color theme="1"/>
      </rPr>
      <t xml:space="preserve">Vos Actions (ex. </t>
    </r>
    <r>
      <rPr>
        <rFont val="Arial"/>
        <i/>
        <color theme="1"/>
      </rPr>
      <t>« Mise en place du "Tampon Ambassadeur" sur Hubspot »</t>
    </r>
    <r>
      <rPr>
        <rFont val="Arial"/>
        <color theme="1"/>
      </rPr>
      <t xml:space="preserve">, </t>
    </r>
    <r>
      <rPr>
        <rFont val="Arial"/>
        <i/>
        <color theme="1"/>
      </rPr>
      <t>« Relancer, clotûrer, pousser »</t>
    </r>
    <r>
      <rPr>
        <rFont val="Arial"/>
        <color theme="1"/>
      </rPr>
      <t xml:space="preserve">) sont clairement des tâches opérationnelles qui alimentent ces KRs. </t>
    </r>
    <r>
      <rPr>
        <rFont val="Arial"/>
        <b/>
        <color theme="1"/>
      </rPr>
      <t>La distinction est impeccable.</t>
    </r>
    <r>
      <rPr>
        <rFont val="Arial"/>
        <color theme="1"/>
      </rPr>
      <t xml:space="preserve">
2. </t>
    </r>
    <r>
      <rPr>
        <rFont val="Arial"/>
        <b/>
        <color theme="1"/>
      </rPr>
      <t>Alignement Parfait :</t>
    </r>
    <r>
      <rPr>
        <rFont val="Arial"/>
        <color theme="1"/>
      </rPr>
      <t xml:space="preserve">
  • </t>
    </r>
    <r>
      <rPr>
        <rFont val="Arial"/>
        <color theme="1"/>
      </rPr>
      <t>Les KR pour l'</t>
    </r>
    <r>
      <rPr>
        <rFont val="Arial"/>
        <b/>
        <color theme="1"/>
      </rPr>
      <t>Objectif 1</t>
    </r>
    <r>
      <rPr>
        <rFont val="Arial"/>
        <color theme="1"/>
      </rPr>
      <t xml:space="preserve"> (0 tickets anciens) mesurent directement la réussite de l'objectif "0 trucs qui traînent" dans le domaine du support/onboarding.</t>
    </r>
    <r>
      <rPr>
        <rFont val="Arial"/>
        <color theme="1"/>
      </rPr>
      <t xml:space="preserve">
  • </t>
    </r>
    <r>
      <rPr>
        <rFont val="Arial"/>
        <color theme="1"/>
      </rPr>
      <t>Les KR pour l'</t>
    </r>
    <r>
      <rPr>
        <rFont val="Arial"/>
        <b/>
        <color theme="1"/>
      </rPr>
      <t>Objectif 2</t>
    </r>
    <r>
      <rPr>
        <rFont val="Arial"/>
        <color theme="1"/>
      </rPr>
      <t xml:space="preserve"> (pourcentage hors rouge, pourcentage avec tampon ambassadeur) sont les preuves tangibles de la "transformation de VIC en ambassadeurs".</t>
    </r>
    <r>
      <rPr>
        <rFont val="Arial"/>
        <color theme="1"/>
      </rPr>
      <t xml:space="preserve">
3. </t>
    </r>
    <r>
      <rPr>
        <rFont val="Arial"/>
        <b/>
        <color theme="1"/>
      </rPr>
      <t>Niveau de Challenge Ambitieux :</t>
    </r>
    <r>
      <rPr>
        <rFont val="Arial"/>
        <color theme="1"/>
      </rPr>
      <t xml:space="preserve">
  • </t>
    </r>
    <r>
      <rPr>
        <rFont val="Arial"/>
        <color theme="1"/>
      </rPr>
      <t xml:space="preserve">Les objectifs de </t>
    </r>
    <r>
      <rPr>
        <rFont val="Arial"/>
        <b/>
        <color theme="1"/>
      </rPr>
      <t>Zéro</t>
    </r>
    <r>
      <rPr>
        <rFont val="Arial"/>
        <color theme="1"/>
      </rPr>
      <t xml:space="preserve"> (0 ticket +2 mois, 0% en rouge) sont très ambitieux et poussent à l'excellence opérationnelle.</t>
    </r>
    <r>
      <rPr>
        <rFont val="Arial"/>
        <color theme="1"/>
      </rPr>
      <t xml:space="preserve">
  • </t>
    </r>
    <r>
      <rPr>
        <rFont val="Arial"/>
        <color theme="1"/>
      </rPr>
      <t xml:space="preserve">L'objectif de </t>
    </r>
    <r>
      <rPr>
        <rFont val="Arial"/>
        <b/>
        <color theme="1"/>
      </rPr>
      <t>passer de 20% à 75%</t>
    </r>
    <r>
      <rPr>
        <rFont val="Arial"/>
        <color theme="1"/>
      </rPr>
      <t xml:space="preserve"> de "Tampons ambassadeurs" est un bond colossal qui démontre une ambition forte pour le trimestre.</t>
    </r>
    <r>
      <rPr>
        <rFont val="Arial"/>
        <color theme="1"/>
      </rPr>
      <t xml:space="preserve">
</t>
    </r>
    <r>
      <rPr>
        <rFont val="Arial"/>
        <color theme="1"/>
      </rPr>
      <t xml:space="preserve">
</t>
    </r>
    <r>
      <rPr>
        <rFont val="Arial"/>
        <b/>
        <color theme="1"/>
        <sz val="20.0"/>
      </rPr>
      <t>Point de Vigilance</t>
    </r>
    <r>
      <rPr>
        <rFont val="Arial"/>
        <color theme="1"/>
      </rPr>
      <t xml:space="preserve">
</t>
    </r>
    <r>
      <rPr>
        <rFont val="Arial"/>
        <color theme="1"/>
      </rPr>
      <t xml:space="preserve">
1. </t>
    </r>
    <r>
      <rPr>
        <rFont val="Arial"/>
        <b/>
        <color theme="1"/>
      </rPr>
      <t>Formulation de l'Objectif 1 :</t>
    </r>
    <r>
      <rPr>
        <rFont val="Arial"/>
        <color theme="1"/>
      </rPr>
      <t xml:space="preserve"> L'objectif </t>
    </r>
    <r>
      <rPr>
        <rFont val="Arial"/>
        <i/>
        <color theme="1"/>
      </rPr>
      <t>« 0 trucs qui traînent »</t>
    </r>
    <r>
      <rPr>
        <rFont val="Arial"/>
        <color theme="1"/>
      </rPr>
      <t xml:space="preserve"> est clair, mais il est très opérationnel et manque du côté "inspirant" et "mémorable" qui caractérise les meilleurs Objectifs OKR.</t>
    </r>
    <r>
      <rPr>
        <rFont val="Arial"/>
        <color theme="1"/>
      </rPr>
      <t xml:space="preserve">
</t>
    </r>
    <r>
      <rPr>
        <rFont val="Arial"/>
        <color theme="1"/>
      </rPr>
      <t xml:space="preserve">
</t>
    </r>
    <r>
      <rPr>
        <rFont val="Arial"/>
        <b/>
        <color theme="1"/>
        <sz val="24.0"/>
      </rPr>
      <t>Recommandations Concrètes</t>
    </r>
    <r>
      <rPr>
        <rFont val="Arial"/>
        <color theme="1"/>
      </rPr>
      <t xml:space="preserve">
</t>
    </r>
    <r>
      <rPr>
        <rFont val="Arial"/>
        <color theme="1"/>
      </rPr>
      <t>Votre travail est solide. La seule recommandation porte sur la formulation pour rendre l'ensemble plus impactant et inspirant.</t>
    </r>
    <r>
      <rPr>
        <rFont val="Arial"/>
        <color theme="1"/>
      </rPr>
      <t xml:space="preserve">
</t>
    </r>
    <r>
      <rPr>
        <rFont val="Arial"/>
        <b/>
        <color theme="1"/>
      </rPr>
      <t>En résumé, vous êtes en ligne avec la méthodologie OKR. Vous pouvez mettre en œuvre ces objectifs en toute confiance.</t>
    </r>
  </si>
  <si>
    <t>Propal Elena</t>
  </si>
  <si>
    <t>Rebondir, rendre Steeple indispensable, le faire savoir aux bonnes personnes</t>
  </si>
  <si>
    <t>0 ticket OB de +2 mois</t>
  </si>
  <si>
    <t>Sortir clients lancés depuis moins d'un an du rouge et jaune</t>
  </si>
  <si>
    <t>Client VIC = ambassadeur</t>
  </si>
  <si>
    <t>Nombre de clients dans le rouge</t>
  </si>
  <si>
    <t>Je ne trouve pas les 49, avec les filtres 
- Consultant owner Elena
- Résiliation reçue ou confirmée
- Taux UR sur le nb utilisateurs &gt;10%</t>
  </si>
  <si>
    <t>0 trucs qui trainent - Etablir une qualité de service et une fluidité d'OB irréprochables</t>
  </si>
  <si>
    <t>0 ticket Onboarding de +2 mois</t>
  </si>
  <si>
    <t>Avoir 0 tickets support +1 mois</t>
  </si>
  <si>
    <t xml:space="preserve">|696 clients | 147030 users | 52880 UR |3,44 M ARR | 83 VIC | </t>
  </si>
  <si>
    <t>Transformer nos VIC en ambassadeurs</t>
  </si>
  <si>
    <t>Sortir les clients VIC du rouge</t>
  </si>
  <si>
    <t>Doubler le nombre de clients VIC "Verts"</t>
  </si>
  <si>
    <t xml:space="preserve">KR3 </t>
  </si>
  <si>
    <t xml:space="preserve">Clients VIC ambassadeurs </t>
  </si>
  <si>
    <t>Eviter le churn</t>
  </si>
  <si>
    <t>Réduire de 30% le nombre de clients sous la barre des 10% d'UR</t>
  </si>
  <si>
    <t>Sortir 50 clients du rouge du portefeuille</t>
  </si>
  <si>
    <t>OKR 1</t>
  </si>
  <si>
    <t>Mise à jour complète de la FAQ en ligne et de la base de connaissance</t>
  </si>
  <si>
    <t>Production et diffusion de Tutoriels Vidéos.</t>
  </si>
  <si>
    <t>Renvoi des clients et des demandes vers Clara</t>
  </si>
  <si>
    <t>Mise en place d'un process d'onboarding automatisé --&gt; Programme "Launch Excellence" : Kit de com + suivi des Tutos + renvoi vers la FAQ dès la réunion de lancement.</t>
  </si>
  <si>
    <t>Organiser des webinars thématiques  ciblés usage, nouvelles fonctionalités</t>
  </si>
  <si>
    <t>Suivi clients suite aux webinars et tournées</t>
  </si>
  <si>
    <t>Gestion de la communication autour des mises à jour produits avec les outils actuels (Pigeons, CTA, Pleine Une)</t>
  </si>
  <si>
    <t>OKR 2</t>
  </si>
  <si>
    <t>Maillage et audit de tous les clients VIC</t>
  </si>
  <si>
    <t xml:space="preserve">Mise en place de stratégie d'adressage client selon segment </t>
  </si>
  <si>
    <t xml:space="preserve">Mise en place de la check list Ambassadeur </t>
  </si>
  <si>
    <t>Visite/Réunion d'accompagnement des clients VIC</t>
  </si>
  <si>
    <t>OKR 3</t>
  </si>
  <si>
    <t xml:space="preserve">(Re)prendre contact avec les clients pour update maillage et audit </t>
  </si>
  <si>
    <t>&gt; priorité clients rouges écarlates</t>
  </si>
  <si>
    <t>&gt; priorité clients lancés en 2025 rouges</t>
  </si>
  <si>
    <t>Voici mon diagnostic détaillé pour votre deuxième trimestre (Q2).</t>
  </si>
  <si>
    <t>1. Diagnostic de forme</t>
  </si>
  <si>
    <t>La structure globale est très bien respectée. Vous avez clairement séparé :</t>
  </si>
  <si>
    <t>Les indicateurs de santé du portefeuille (696 clients, 147 030 salariés, etc.) qui servent de contexte.</t>
  </si>
  <si>
    <t>Trois Objectifs (O) ambitieux.</t>
  </si>
  <si>
    <t>Des Résultats Clés (KR) associés à chaque objectif, avec des points de départ et des cibles chiffrées.</t>
  </si>
  <si>
    <t>Des Actions concrètes pour chaque objectif.</t>
  </si>
  <si>
    <t>2. Analyse critique</t>
  </si>
  <si>
    <t>Points forts :</t>
  </si>
  <si>
    <t>Décorrélation réussie : Contrairement à beaucoup d'erreurs classiques, vos KR ne sont pas des tâches. Par exemple, le KR sur le nombre de clients VIC "Verts" ou le taux d'Utilisateurs Réguliers (UR) mesure un impact réel sur le business et non un effort (comme "faire des appels").</t>
  </si>
  <si>
    <t>Alignement stratégique : Vos objectifs (Reprendre le contrôle du réactif, Transformer les VIC en ambassadeurs, Éviter le churn) servent directement la mission globale de Steeple d'augmenter l'usage et la rétention.</t>
  </si>
  <si>
    <t>Précision des segments : Vous distinguez bien les "rouges écarlates" (&lt;10% UR) des "rouges" classiques, ce qui permet un pilotage fin de la lutte contre le churn.</t>
  </si>
  <si>
    <t>Points de vigilance :</t>
  </si>
  <si>
    <t>Le KR 1 de l'Objectif 1 ("0 ticket support") : Bien que mesurable, viser "0 ticket" peut être risqué si cela est dû à une baisse d'usage globale plutôt qu'à une meilleure autonomie client.</t>
  </si>
  <si>
    <t>L'Objectif 1 ("Reprendre le contrôle du réactif") : Le titre est très opérationnel. Un objectif OKR gagne à être plus "inspirant" pour motiver l'équipe.</t>
  </si>
  <si>
    <t>Distinction Action vs KR : Dans vos actions de l'Objectif 1, "Organiser des webinars" est une excellente action, mais l'impact (le nombre de participants ou le taux de conversion suite au webinar) pourrait être un KR plus puissant.</t>
  </si>
  <si>
    <t>3. Recommandations concrètes</t>
  </si>
  <si>
    <t>Voici des propositions pour rendre vos OKR encore plus "challengeants" et orientés impact :</t>
  </si>
  <si>
    <t>Objectif 1 : Rendre nos clients autonomes et sereins</t>
  </si>
  <si>
    <t>Recommandation : Au lieu de "Reprendre le contrôle", visez l'excellence du service client.</t>
  </si>
  <si>
    <t>KR suggéré : "Réduire de 30% le délai moyen de résolution des tickets grâce au self-care (FAQ/Vidéos)".</t>
  </si>
  <si>
    <t>Objectif 2 : Faire des VIC le moteur de croissance du portefeuille</t>
  </si>
  <si>
    <t>Analyse du challenge : Passer de 21 à 40 VIC "Verts" est un défi majeur (+90% de croissance sur ce segment). C'est un excellent KR.</t>
  </si>
  <si>
    <t>KR suggéré : "Atteindre 100% de complétion de la 'Checklist Ambassadeur' sur les 25 comptes cibles".</t>
  </si>
  <si>
    <t>Objectif 3 : Sécuriser la base par la reconquête des usages</t>
  </si>
  <si>
    <t>Recommandation : Votre KR 1 sur la réduction de 30% des clients &lt;10% UR est parfait.</t>
  </si>
  <si>
    <t>Action suggérée : Prioriser les audits de maillage sur les comptes lancés en 2025 qui sont déjà dans le rouge pour stopper l'hémorragie précocement.</t>
  </si>
  <si>
    <t>Synthèse du diagnostic : Votre tableau est conforme aux standards élevés de la méthode OKR. Le passage de la moyenne d'utilisateurs réguliers de 39,29% à 45% sur l'ensemble du portefeuille est le juge de paix de votre succès ce trimestre.</t>
  </si>
  <si>
    <t>Un système opérationnel sans accroc et reprenable</t>
  </si>
  <si>
    <t>Tickets</t>
  </si>
  <si>
    <t>Nb tickets</t>
  </si>
  <si>
    <t>Temps moyen de prise en charge</t>
  </si>
  <si>
    <t>Temps moyen de prise en charge des leads &lt; 24h</t>
  </si>
  <si>
    <t>Customer</t>
  </si>
  <si>
    <t>Temps moyen de prise en charge des transacs churn &lt; 24h</t>
  </si>
  <si>
    <t>Onboarding</t>
  </si>
  <si>
    <t>Temps moyen de prise en charge des tickets &lt; 24h</t>
  </si>
  <si>
    <t>Logistics</t>
  </si>
  <si>
    <t>Structurer tous les pipes Leads, Transcas, Tickets (New, pris en charge, ...)</t>
  </si>
  <si>
    <t>Création et attribution</t>
  </si>
  <si>
    <t>Association de tâches et alerting</t>
  </si>
  <si>
    <t>Documentation</t>
  </si>
  <si>
    <t>Un système d'acquisition performant</t>
  </si>
  <si>
    <t>Nombre de MQL générés</t>
  </si>
  <si>
    <t>Nombre de SQL</t>
  </si>
  <si>
    <t>25 au Q1</t>
  </si>
  <si>
    <t>Inbound</t>
  </si>
  <si>
    <t>Base de contenus remises au propre avec analyse des contenus qui génèrent des leads</t>
  </si>
  <si>
    <t>82 au Q1</t>
  </si>
  <si>
    <t>Outbound</t>
  </si>
  <si>
    <t>Campagnes sortantes vers les comptes clés, les réseaux et les contacts CRM</t>
  </si>
  <si>
    <t>Ads</t>
  </si>
  <si>
    <t>Analyse et ajustement des campagnes google ads</t>
  </si>
  <si>
    <t>18 au Q1</t>
  </si>
  <si>
    <t xml:space="preserve">Retouts Gemini </t>
  </si>
  <si>
    <t>Élément</t>
  </si>
  <si>
    <t>Objectif 1 : "Un système opérationnel sans accroc et reprenable"</t>
  </si>
  <si>
    <t>Objectif 2 : "Un système d'acquisition performant"</t>
  </si>
  <si>
    <t>**Objectif (O)**</t>
  </si>
  <si>
    <t>✅ **Respecté.** Ambitieux et inspirant.</t>
  </si>
  <si>
    <t>**Résultats Clés (KR)**</t>
  </si>
  <si>
    <t>✅ **Respecté.** Ils sont chiffrés (Temps moyen de prise en charge) et mesurent un impact.</t>
  </si>
  <si>
    <t>✅ **Respecté.** Ils sont chiffrés (Nombre de MQL) et mesurent un impact.</t>
  </si>
  <si>
    <t>**Actions**</t>
  </si>
  <si>
    <t>⚠️ **Point de vigilance.** Les actions/initiatives concrètes pour atteindre ces KR ne sont pas visibles dans la structure fournie.</t>
  </si>
  <si>
    <t>⚠️ **Point de vigilance.** Idem. La méthodologie OKR impose de bien séparer le *QUOI* (KR) du *COMMENT* (Actions).</t>
  </si>
  <si>
    <t>Transformer notre site en vitrine génératrice</t>
  </si>
  <si>
    <t>Refaire 50 pages de site</t>
  </si>
  <si>
    <t>Atteindre 100% des liens nettoyés</t>
  </si>
  <si>
    <t>Augmenter le nombre de MQL</t>
  </si>
  <si>
    <t>Refonte du site internet</t>
  </si>
  <si>
    <t>Lister et mettre à jour les liens</t>
  </si>
  <si>
    <t>Optimiser les titres et méta descriptions</t>
  </si>
  <si>
    <t>Faire de notre présence une source de trafic</t>
  </si>
  <si>
    <t>Atteindre 30 000 abonnés sur LinkedIn</t>
  </si>
  <si>
    <t>Avoir 100% des collaborateurs avec un profil LinkedIn à jour</t>
  </si>
  <si>
    <t>Mettre à jour la page entreprise</t>
  </si>
  <si>
    <t>Harmoniser les profils collaborateurs</t>
  </si>
  <si>
    <t>Ajouter des bannières et descriptions</t>
  </si>
  <si>
    <t>Mettre à jour les RS Steeple</t>
  </si>
  <si>
    <t>Mettre à jour les bios et visuels</t>
  </si>
  <si>
    <t>Créer du contenu pertinent</t>
  </si>
  <si>
    <t xml:space="preserve">Objectif </t>
  </si>
  <si>
    <t>Augmenter le parc partenaire</t>
  </si>
  <si>
    <t>Nombre de partenaires (apport d'affaires, vente ou gestion)</t>
  </si>
  <si>
    <t>Nombre de demandes entrantes</t>
  </si>
  <si>
    <t>Actions KR1</t>
  </si>
  <si>
    <t>Créer un simulateur de rétrocomission</t>
  </si>
  <si>
    <t>Actions KR2</t>
  </si>
  <si>
    <t>Obtenir 10 visites et 2 demandes entrantes sur la page web partenaire</t>
  </si>
  <si>
    <t>Néttoyer et présenter les offres Partenaires avec une fiche Contact</t>
  </si>
  <si>
    <t>Présenter la proposition de valeur par types de partenaires</t>
  </si>
  <si>
    <t xml:space="preserve">Agence de communication interne - Conseil RH </t>
  </si>
  <si>
    <t>--&gt; Témoignage Midway</t>
  </si>
  <si>
    <t>Intégrateur SIRH-ERP, Intégrateur Digital Workplace</t>
  </si>
  <si>
    <t>--&gt; Témoignage O3 Expert</t>
  </si>
  <si>
    <t>Agence RH</t>
  </si>
  <si>
    <t>Editeurs</t>
  </si>
  <si>
    <t>1 campagne de communication "Agence de comm et Conseil RH"</t>
  </si>
  <si>
    <t>--&gt; Contenu : Propo de valeur, offres partenaires, témoignage partenaire Midway</t>
  </si>
  <si>
    <t>Réaliser au minimum 2 demandes entrantes via Linkedin Steeple &amp; Eric</t>
  </si>
  <si>
    <t>Obtenir 2 partenaires en discussion via Emailing et phoning</t>
  </si>
  <si>
    <t>Mettre à jour les @email Hubspot</t>
  </si>
  <si>
    <t>Relai sur le site web steeple</t>
  </si>
  <si>
    <t>1 campagne de communication "Intégrateur SIRH-ERP-Digital Workplace"</t>
  </si>
  <si>
    <t>--&gt; Contenu : Propo de valeur, offres partenaires, témoignage partenaire 03 Experts</t>
  </si>
  <si>
    <t>Réaliser 2 demandes entrantes via mon activité linkedin sur mon réseau</t>
  </si>
  <si>
    <t>(annonce nouveau partenaire, republication, rebond sur comm partenaires ou Steeple,...)</t>
  </si>
  <si>
    <t>Développer les partenaires ambassadeurs</t>
  </si>
  <si>
    <t>Intégrer les partenaires dans la grandes communauté</t>
  </si>
  <si>
    <t>Animer la communauté - rendre les  partenaires Contributeurs</t>
  </si>
  <si>
    <t>Sondage, partage d'usages, REX,...</t>
  </si>
  <si>
    <t>Réaliser 2 demandes entrantes via nos partenaires (cooptation?)</t>
  </si>
  <si>
    <t>A édudier : Une prime?</t>
  </si>
  <si>
    <t>(ex : accéder à des intégrateurs Silae via 03 experts)</t>
  </si>
  <si>
    <t>Faire de l'acquisition le moteur de croissance</t>
  </si>
  <si>
    <t xml:space="preserve">Nombre d'opportunités reçues </t>
  </si>
  <si>
    <t xml:space="preserve">Nombre d'opportunités signées </t>
  </si>
  <si>
    <t xml:space="preserve">Générer 10 oppys avec 2 p'tit déjeuners Clients chez des Partenaires </t>
  </si>
  <si>
    <t>Midway -&gt; Grand-est, O3 Expert : Centre val de l'oise, ... (My beautiful Value?)</t>
  </si>
  <si>
    <t xml:space="preserve">Générer 5 oppys via des webinaires </t>
  </si>
  <si>
    <t>03 Experts (national), ...</t>
  </si>
  <si>
    <t xml:space="preserve">Générer 10 oppys avec 5 communications linkedin de partenaires </t>
  </si>
  <si>
    <t>Agro'mok, May Voisin, MBV, O3 expert, Midway,...</t>
  </si>
  <si>
    <t>Générer 5 oppys via des actions ciblés sur des clients de partenaires</t>
  </si>
  <si>
    <t>Capten, Ideuzo, ...</t>
  </si>
  <si>
    <t>Identifier 10 Quick wins ( 1 mini par partenaire ) et accompagner à la signature</t>
  </si>
  <si>
    <t>Performance : Animer le programme de lancement Partenaire</t>
  </si>
  <si>
    <t>Revue de pipe régulière</t>
  </si>
  <si>
    <t xml:space="preserve"> Faire une tournée Client/prospect avec (certains) partenaires</t>
  </si>
  <si>
    <t>03 experts, Midway, My beautiful Value,...</t>
  </si>
  <si>
    <t>Leads gen &amp; Quick win</t>
  </si>
  <si>
    <t>Transformer nos partenaires en ambassadeurs de l'adoption Client</t>
  </si>
  <si>
    <t>Nombre de partenaires certifiés à gérer les Clients</t>
  </si>
  <si>
    <t>Nombre de collaborateurs Client en gestion</t>
  </si>
  <si>
    <t>Process onboarding du partenaire</t>
  </si>
  <si>
    <t>Gestion de 2 clients rouges (voire jaunes) Steeple par partenaires</t>
  </si>
  <si>
    <t>14 clients Steeple</t>
  </si>
  <si>
    <t>Gestion de 5 clients/prospects signés des partenaires</t>
  </si>
  <si>
    <t>5 Clients partenaires</t>
  </si>
  <si>
    <t xml:space="preserve">Performance : Onboarder et animer les partenaires </t>
  </si>
  <si>
    <t xml:space="preserve"> Objectif</t>
  </si>
  <si>
    <t>Faire avancer les pipes</t>
  </si>
  <si>
    <t>Signer 25 nouveaux clients</t>
  </si>
  <si>
    <t>Créer 40 opportunités</t>
  </si>
  <si>
    <t>Sauver 3 churns</t>
  </si>
  <si>
    <t>10 clients dans le pipe transac existant</t>
  </si>
  <si>
    <t>5 clients dans le pipe lead existant</t>
  </si>
  <si>
    <t>10 clients signés à partir de nouveaux leads</t>
  </si>
  <si>
    <t>Se déplacer chez les 8 prospects du pipe transac à moins de 3h</t>
  </si>
  <si>
    <t>Activer les 40 leads du Q1 en "discussion"</t>
  </si>
  <si>
    <t>20 depuis les leads en cours</t>
  </si>
  <si>
    <t>15 issus des nouveaux leads outbound</t>
  </si>
  <si>
    <t>5 issus de nouveaux leads outbound</t>
  </si>
  <si>
    <t>Organiser 2 webinars ou présentations physiques dédiés aux enjeux RH de la Grande Distrib/Industrie.</t>
  </si>
  <si>
    <t>Identifier 20 clients "promoteurs" ayant bénéficié du consulting.</t>
  </si>
  <si>
    <t>Relancer les 80 closed lost industrie et grande distribution autour de chez moi</t>
  </si>
  <si>
    <t>Analyser les 15 churns et mener 9 rdv de rétention ciblé</t>
  </si>
  <si>
    <t>Se déplacer pour les 3 churns à moins de 3h</t>
  </si>
  <si>
    <t>Se concentrer sur le new biz</t>
  </si>
  <si>
    <t>Signer 30 nouveaux clients</t>
  </si>
  <si>
    <t>Sauver 5 churn</t>
  </si>
  <si>
    <t>Avoir 50 Lead en deal</t>
  </si>
  <si>
    <t>50% des rdv dirigeants en physique</t>
  </si>
  <si>
    <t>Prise de contact dans la semaine suite à la démo co</t>
  </si>
  <si>
    <t>100% des rdvs Décision avec RH et/ou SI</t>
  </si>
  <si>
    <t>Relance closed lost 2025 sur la région pays de la loire</t>
  </si>
  <si>
    <t>Faire rayonner Steeple avec des collaborateus ambassadeurs</t>
  </si>
  <si>
    <t>Chaque collaborateur a un profil Steeple sur Linkedin</t>
  </si>
  <si>
    <t>Chaque collaborateur fait une publication engageante sur Linkedin (arrivée, ancienneté, métiers, etc.)</t>
  </si>
  <si>
    <t xml:space="preserve">Obtenir 4000 impressions sur la totalité des posts </t>
  </si>
  <si>
    <r>
      <rPr>
        <rFont val="Arial"/>
        <b/>
        <color theme="1"/>
      </rPr>
      <t>Créer un guide</t>
    </r>
    <r>
      <rPr>
        <rFont val="Arial"/>
        <color theme="1"/>
      </rPr>
      <t xml:space="preserve"> “Personal branding Linkedin + mettre à jour son profil”</t>
    </r>
  </si>
  <si>
    <r>
      <rPr>
        <rFont val="Arial"/>
        <b/>
        <color theme="1"/>
      </rPr>
      <t xml:space="preserve">Retravailler le guide </t>
    </r>
    <r>
      <rPr>
        <rFont val="Arial"/>
        <color theme="1"/>
      </rPr>
      <t>"Linkedin chez Steeple"</t>
    </r>
  </si>
  <si>
    <r>
      <rPr>
        <rFont val="Arial"/>
        <b/>
        <color theme="1"/>
      </rPr>
      <t xml:space="preserve">Accompagner individuellement lors de triggers </t>
    </r>
    <r>
      <rPr>
        <rFont val="Arial"/>
        <color theme="1"/>
      </rPr>
      <t>: nouvelle embauche, célébrer les anciennetés, je recherche mon collègue, partage métier.</t>
    </r>
  </si>
  <si>
    <t>- Nouvelle embauche 2026 : Eric, Sophie, Clément, Julien, Magali.</t>
  </si>
  <si>
    <t>- Ancienneté : François (19 mai - 1 an), Elena (31 mai - 2 ans), Edouard (2 juin - 1 an)</t>
  </si>
  <si>
    <t>Recruter pour renforcer notre équipe actuelle</t>
  </si>
  <si>
    <t>Réaliser 8 recrutements prioritaires (1 dév Ruby, 1 CSM, 3 Commerciaux, 2 Dév FS, 1 Resp Communication)</t>
  </si>
  <si>
    <t>80% des candidats présentés à Jean-Baptiste sont validés</t>
  </si>
  <si>
    <t>Le time to ready doit être inférieur à 15 jours</t>
  </si>
  <si>
    <r>
      <rPr>
        <rFont val="Arial"/>
        <b/>
        <color theme="1"/>
      </rPr>
      <t>Créer des partenariats</t>
    </r>
    <r>
      <rPr>
        <rFont val="Arial"/>
        <color theme="1"/>
      </rPr>
      <t xml:space="preserve"> avec des cabinets de recrutement spécialisés qui comprennent nos attentes et notre culture.</t>
    </r>
  </si>
  <si>
    <r>
      <rPr>
        <rFont val="Arial"/>
        <b/>
        <color theme="1"/>
      </rPr>
      <t>Déployer les nouvelles mises en situation</t>
    </r>
    <r>
      <rPr>
        <rFont val="Arial"/>
        <color theme="1"/>
      </rPr>
      <t xml:space="preserve"> : pour les CSM.</t>
    </r>
  </si>
  <si>
    <t>Accompagner l'usage de l'IA dans nos métiers</t>
  </si>
  <si>
    <t>Chaque collaborateur a mis en place des automatismes</t>
  </si>
  <si>
    <t>?</t>
  </si>
  <si>
    <t>Identifier 2 cas d'usage IA à fort impact par collaborateurs</t>
  </si>
  <si>
    <r>
      <rPr>
        <rFont val="Arial"/>
        <b/>
        <color theme="1"/>
      </rPr>
      <t>Inventorier les pratiques actuelles</t>
    </r>
    <r>
      <rPr>
        <rFont val="Arial"/>
        <color theme="1"/>
      </rPr>
      <t xml:space="preserve"> de chacun : Claude / n8n / Autre outil IA.</t>
    </r>
  </si>
  <si>
    <r>
      <rPr>
        <rFont val="Arial"/>
        <b/>
        <color theme="1"/>
      </rPr>
      <t xml:space="preserve">Identifier des uses cases </t>
    </r>
    <r>
      <rPr>
        <rFont val="Arial"/>
        <color theme="1"/>
      </rPr>
      <t>pour chacun.</t>
    </r>
  </si>
  <si>
    <r>
      <rPr>
        <rFont val="Arial"/>
        <b/>
        <color theme="1"/>
      </rPr>
      <t xml:space="preserve">Faire connaître </t>
    </r>
    <r>
      <rPr>
        <rFont val="Arial"/>
        <color theme="1"/>
      </rPr>
      <t>les pratiques actuelles pour donner des exemples et créer des interactions au sein de l’équipe.</t>
    </r>
  </si>
  <si>
    <r>
      <rPr>
        <rFont val="Arial"/>
        <b/>
        <color theme="1"/>
      </rPr>
      <t xml:space="preserve">Mettre en place des projets IA </t>
    </r>
    <r>
      <rPr>
        <rFont val="Arial"/>
        <color theme="1"/>
      </rPr>
      <t>pour chacun.</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</si>
</sst>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
    <numFmt numFmtId="166" formatCode="0.0%"/>
    <numFmt numFmtId="167" formatCode="#,##0\ [$€-1]"/>
  </numFmts>
  <fonts count="42">
    <font>
      <sz val="10.0"/>
      <color rgb="FF000000"/>
      <name val="Arial"/>
      <scheme val="minor"/>
    </font>
    <font>
      <b/>
      <color rgb="FFFFFFFF"/>
      <name val="Arial"/>
    </font>
    <font>
      <i/>
      <color theme="1"/>
      <name val="Arial"/>
      <scheme val="minor"/>
    </font>
    <font>
      <color theme="1"/>
      <name val="Arial"/>
    </font>
    <font>
      <b/>
      <color theme="4"/>
      <name val="Arial"/>
    </font>
    <font>
      <b/>
      <color rgb="FF4285F4"/>
      <name val="Arial"/>
    </font>
    <font>
      <b/>
      <color theme="1"/>
      <name val="Arial"/>
      <scheme val="minor"/>
    </font>
    <font>
      <b/>
      <u/>
      <color theme="1"/>
      <name val="Arial"/>
    </font>
    <font>
      <b/>
      <color rgb="FFFFFFFF"/>
      <name val="Roboto"/>
    </font>
    <font>
      <color theme="1"/>
      <name val="Roboto"/>
    </font>
    <font>
      <b/>
      <color theme="1"/>
      <name val="Roboto"/>
    </font>
    <font>
      <b/>
      <u/>
      <color rgb="FF0000FF"/>
      <name val="Roboto"/>
    </font>
    <font>
      <b/>
      <u/>
      <color theme="1"/>
      <name val="Roboto"/>
    </font>
    <font>
      <color theme="1"/>
      <name val="Arial"/>
      <scheme val="minor"/>
    </font>
    <font>
      <b/>
      <sz val="8.0"/>
      <color rgb="FFFFFFFF"/>
      <name val="Arial"/>
    </font>
    <font>
      <sz val="8.0"/>
      <color theme="1"/>
      <name val="Arial"/>
    </font>
    <font>
      <sz val="8.0"/>
      <color rgb="FF666666"/>
      <name val="Arial"/>
      <scheme val="minor"/>
    </font>
    <font>
      <i/>
      <sz val="8.0"/>
      <color rgb="FF666666"/>
      <name val="Arial"/>
      <scheme val="minor"/>
    </font>
    <font>
      <color rgb="FF980000"/>
      <name val="Arial"/>
    </font>
    <font>
      <b/>
      <color rgb="FFFFFFFF"/>
      <name val="Arial"/>
      <scheme val="minor"/>
    </font>
    <font/>
    <font>
      <b/>
      <color theme="1"/>
      <name val="Arial"/>
    </font>
    <font>
      <color rgb="FFFFFFFF"/>
      <name val="Arial"/>
    </font>
    <font>
      <u/>
      <color theme="1"/>
      <name val="Arial"/>
    </font>
    <font>
      <i/>
      <color theme="1"/>
      <name val="Arial"/>
    </font>
    <font>
      <sz val="11.0"/>
      <color rgb="FF3A4252"/>
      <name val="Inter"/>
    </font>
    <font>
      <b/>
      <sz val="12.0"/>
      <color theme="1"/>
      <name val="Arial"/>
      <scheme val="minor"/>
    </font>
    <font>
      <b/>
      <sz val="16.0"/>
      <color rgb="FFFFFFFF"/>
      <name val="Arial"/>
    </font>
    <font>
      <b/>
      <sz val="11.0"/>
      <color rgb="FFFFFFFF"/>
      <name val="Arial"/>
    </font>
    <font>
      <u/>
      <color theme="1"/>
      <name val="Arial"/>
    </font>
    <font>
      <color rgb="FF1F1F1F"/>
      <name val="Roboto Mono"/>
    </font>
    <font>
      <b/>
      <color rgb="FF000000"/>
      <name val="Arial"/>
    </font>
    <font>
      <b/>
      <u/>
      <color theme="1"/>
      <name val="Arial"/>
    </font>
    <font>
      <color rgb="FF444746"/>
      <name val="&quot;Google Sans Text&quot;"/>
    </font>
    <font>
      <color rgb="FF1F1F1F"/>
      <name val="&quot;Google Sans Text&quot;"/>
    </font>
    <font>
      <b/>
      <sz val="14.0"/>
      <color rgb="FF1F1F1F"/>
      <name val="&quot;Google Sans&quot;"/>
    </font>
    <font>
      <b/>
      <sz val="14.0"/>
      <color rgb="FF1F1F1F"/>
      <name val="&quot;Google Sans Text&quot;"/>
    </font>
    <font>
      <b/>
      <color rgb="FF1F1F1F"/>
      <name val="&quot;Google Sans Text&quot;"/>
    </font>
    <font>
      <b/>
      <color rgb="FF1F1F1F"/>
      <name val="&quot;Google Sans&quot;"/>
    </font>
    <font>
      <u/>
      <color theme="1"/>
      <name val="Arial"/>
      <scheme val="minor"/>
    </font>
    <font>
      <sz val="9.0"/>
      <color theme="1"/>
      <name val="Arial"/>
    </font>
    <font>
      <sz val="10.0"/>
      <color theme="1"/>
      <name val="Arial"/>
    </font>
  </fonts>
  <fills count="12">
    <fill>
      <patternFill patternType="none"/>
    </fill>
    <fill>
      <patternFill patternType="lightGray"/>
    </fill>
    <fill>
      <patternFill patternType="solid">
        <fgColor rgb="FF4285F4"/>
        <bgColor rgb="FF4285F4"/>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
      <patternFill patternType="solid">
        <fgColor theme="4"/>
        <bgColor theme="4"/>
      </patternFill>
    </fill>
    <fill>
      <patternFill patternType="solid">
        <fgColor rgb="FFB6D7A8"/>
        <bgColor rgb="FFB6D7A8"/>
      </patternFill>
    </fill>
    <fill>
      <patternFill patternType="solid">
        <fgColor rgb="FFFCE5CD"/>
        <bgColor rgb="FFFCE5CD"/>
      </patternFill>
    </fill>
    <fill>
      <patternFill patternType="solid">
        <fgColor rgb="FFF6F7F9"/>
        <bgColor rgb="FFF6F7F9"/>
      </patternFill>
    </fill>
    <fill>
      <patternFill patternType="solid">
        <fgColor rgb="FFF0F4F9"/>
        <bgColor rgb="FFF0F4F9"/>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horizontal="left" readingOrder="0" vertical="bottom"/>
    </xf>
    <xf borderId="0" fillId="2" fontId="1" numFmtId="0" xfId="0" applyAlignment="1" applyFont="1">
      <alignment horizontal="center" shrinkToFit="0" vertical="bottom" wrapText="1"/>
    </xf>
    <xf borderId="0" fillId="0" fontId="2" numFmtId="0" xfId="0" applyFont="1"/>
    <xf borderId="0" fillId="3" fontId="3" numFmtId="0" xfId="0" applyAlignment="1" applyFill="1" applyFont="1">
      <alignment readingOrder="0" vertical="bottom"/>
    </xf>
    <xf borderId="0" fillId="3" fontId="3" numFmtId="3" xfId="0" applyAlignment="1" applyFont="1" applyNumberFormat="1">
      <alignment horizontal="center" readingOrder="0" vertical="bottom"/>
    </xf>
    <xf borderId="0" fillId="4" fontId="3" numFmtId="9" xfId="0" applyAlignment="1" applyFill="1" applyFont="1" applyNumberFormat="1">
      <alignment horizontal="center" vertical="bottom"/>
    </xf>
    <xf borderId="0" fillId="3" fontId="3" numFmtId="164" xfId="0" applyAlignment="1" applyFont="1" applyNumberFormat="1">
      <alignment horizontal="right" readingOrder="0" vertical="bottom"/>
    </xf>
    <xf borderId="0" fillId="3" fontId="3" numFmtId="10" xfId="0" applyAlignment="1" applyFont="1" applyNumberFormat="1">
      <alignment horizontal="center" readingOrder="0" vertical="bottom"/>
    </xf>
    <xf borderId="0" fillId="3" fontId="3" numFmtId="9" xfId="0" applyAlignment="1" applyFont="1" applyNumberFormat="1">
      <alignment horizontal="center" readingOrder="0" vertical="bottom"/>
    </xf>
    <xf borderId="0" fillId="0" fontId="4" numFmtId="0" xfId="0" applyAlignment="1" applyFont="1">
      <alignment readingOrder="0" vertical="bottom"/>
    </xf>
    <xf borderId="0" fillId="0" fontId="5" numFmtId="0" xfId="0" applyAlignment="1" applyFont="1">
      <alignment readingOrder="0" vertical="bottom"/>
    </xf>
    <xf borderId="0" fillId="0" fontId="4" numFmtId="0" xfId="0" applyAlignment="1" applyFont="1">
      <alignment horizontal="center"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shrinkToFit="0" vertical="bottom" wrapText="1"/>
    </xf>
    <xf borderId="0" fillId="2" fontId="1" numFmtId="0" xfId="0" applyAlignment="1" applyFont="1">
      <alignment vertical="bottom"/>
    </xf>
    <xf borderId="0" fillId="0" fontId="2" numFmtId="0" xfId="0" applyAlignment="1" applyFont="1">
      <alignment readingOrder="0"/>
    </xf>
    <xf borderId="0" fillId="3" fontId="3" numFmtId="3" xfId="0" applyAlignment="1" applyFont="1" applyNumberFormat="1">
      <alignment horizontal="center" vertical="bottom"/>
    </xf>
    <xf borderId="0" fillId="3" fontId="3" numFmtId="165" xfId="0" applyAlignment="1" applyFont="1" applyNumberFormat="1">
      <alignment horizontal="center" readingOrder="0" vertical="bottom"/>
    </xf>
    <xf borderId="0" fillId="4" fontId="3" numFmtId="166" xfId="0" applyAlignment="1" applyFont="1" applyNumberFormat="1">
      <alignment horizontal="center" vertical="bottom"/>
    </xf>
    <xf borderId="0" fillId="0" fontId="3" numFmtId="0" xfId="0" applyAlignment="1" applyFont="1">
      <alignment vertical="bottom"/>
    </xf>
    <xf borderId="0" fillId="0" fontId="6" numFmtId="0" xfId="0" applyAlignment="1" applyFont="1">
      <alignment readingOrder="0"/>
    </xf>
    <xf borderId="0" fillId="0" fontId="6" numFmtId="0" xfId="0" applyFont="1"/>
    <xf borderId="0" fillId="3" fontId="3" numFmtId="0" xfId="0" applyAlignment="1" applyFont="1">
      <alignment vertical="bottom"/>
    </xf>
    <xf borderId="0" fillId="3" fontId="3" numFmtId="3" xfId="0" applyAlignment="1" applyFont="1" applyNumberFormat="1">
      <alignment vertical="bottom"/>
    </xf>
    <xf borderId="0" fillId="3" fontId="3" numFmtId="164" xfId="0" applyAlignment="1" applyFont="1" applyNumberFormat="1">
      <alignment horizontal="right" vertical="bottom"/>
    </xf>
    <xf borderId="0" fillId="0" fontId="7" numFmtId="0" xfId="0" applyAlignment="1" applyFont="1">
      <alignment vertical="bottom"/>
    </xf>
    <xf borderId="0" fillId="2" fontId="8" numFmtId="0" xfId="0" applyAlignment="1" applyFont="1">
      <alignment vertical="bottom"/>
    </xf>
    <xf borderId="0" fillId="2" fontId="8" numFmtId="0" xfId="0" applyAlignment="1" applyFont="1">
      <alignment readingOrder="0" vertical="bottom"/>
    </xf>
    <xf borderId="0" fillId="2" fontId="8" numFmtId="0" xfId="0" applyAlignment="1" applyFont="1">
      <alignment horizontal="center" shrinkToFit="0" vertical="bottom" wrapText="1"/>
    </xf>
    <xf borderId="0" fillId="0" fontId="9" numFmtId="0" xfId="0" applyFont="1"/>
    <xf borderId="0" fillId="3" fontId="10" numFmtId="0" xfId="0" applyAlignment="1" applyFont="1">
      <alignment horizontal="center" readingOrder="0" vertical="center"/>
    </xf>
    <xf borderId="0" fillId="3" fontId="9" numFmtId="0" xfId="0" applyAlignment="1" applyFont="1">
      <alignment readingOrder="0" vertical="bottom"/>
    </xf>
    <xf borderId="0" fillId="3" fontId="9" numFmtId="3" xfId="0" applyAlignment="1" applyFont="1" applyNumberFormat="1">
      <alignment horizontal="center" readingOrder="0" vertical="center"/>
    </xf>
    <xf borderId="0" fillId="4" fontId="10" numFmtId="9" xfId="0" applyAlignment="1" applyFont="1" applyNumberFormat="1">
      <alignment horizontal="center" vertical="center"/>
    </xf>
    <xf borderId="0" fillId="3" fontId="9" numFmtId="164" xfId="0" applyAlignment="1" applyFont="1" applyNumberFormat="1">
      <alignment horizontal="center" readingOrder="0" vertical="center"/>
    </xf>
    <xf borderId="0" fillId="0" fontId="11" numFmtId="0" xfId="0" applyAlignment="1" applyFont="1">
      <alignment readingOrder="0" vertical="center"/>
    </xf>
    <xf borderId="0" fillId="0" fontId="9" numFmtId="0" xfId="0" applyAlignment="1" applyFont="1">
      <alignment readingOrder="0"/>
    </xf>
    <xf borderId="0" fillId="5" fontId="9" numFmtId="0" xfId="0" applyFill="1" applyFont="1"/>
    <xf borderId="0" fillId="0" fontId="12" numFmtId="0" xfId="0" applyAlignment="1" applyFont="1">
      <alignment vertical="top"/>
    </xf>
    <xf borderId="0" fillId="0" fontId="9" numFmtId="0" xfId="0" applyAlignment="1" applyFont="1">
      <alignment readingOrder="0" vertical="bottom"/>
    </xf>
    <xf borderId="0" fillId="5" fontId="9" numFmtId="3" xfId="0" applyAlignment="1" applyFont="1" applyNumberFormat="1">
      <alignment horizontal="center" vertical="bottom"/>
    </xf>
    <xf borderId="0" fillId="5" fontId="9" numFmtId="3" xfId="0" applyAlignment="1" applyFont="1" applyNumberFormat="1">
      <alignment readingOrder="0" vertical="bottom"/>
    </xf>
    <xf borderId="0" fillId="5" fontId="9" numFmtId="9" xfId="0" applyAlignment="1" applyFont="1" applyNumberFormat="1">
      <alignment horizontal="center" vertical="bottom"/>
    </xf>
    <xf borderId="0" fillId="5" fontId="9" numFmtId="164" xfId="0" applyAlignment="1" applyFont="1" applyNumberFormat="1">
      <alignment horizontal="right" vertical="bottom"/>
    </xf>
    <xf borderId="0" fillId="5" fontId="9" numFmtId="0" xfId="0" applyAlignment="1" applyFont="1">
      <alignment vertical="bottom"/>
    </xf>
    <xf borderId="0" fillId="5" fontId="9" numFmtId="0" xfId="0" applyAlignment="1" applyFont="1">
      <alignment readingOrder="0" vertical="bottom"/>
    </xf>
    <xf borderId="0" fillId="3" fontId="9" numFmtId="9" xfId="0" applyAlignment="1" applyFont="1" applyNumberFormat="1">
      <alignment horizontal="center" readingOrder="0" vertical="center"/>
    </xf>
    <xf borderId="0" fillId="0" fontId="9" numFmtId="0" xfId="0" applyAlignment="1" applyFont="1">
      <alignment vertical="bottom"/>
    </xf>
    <xf borderId="0" fillId="3" fontId="3" numFmtId="3" xfId="0" applyAlignment="1" applyFont="1" applyNumberFormat="1">
      <alignment readingOrder="0" vertical="bottom"/>
    </xf>
    <xf borderId="0" fillId="6" fontId="3" numFmtId="0" xfId="0" applyAlignment="1" applyFill="1" applyFont="1">
      <alignment readingOrder="0" vertical="bottom"/>
    </xf>
    <xf borderId="0" fillId="5" fontId="3" numFmtId="0" xfId="0" applyAlignment="1" applyFont="1">
      <alignment vertical="bottom"/>
    </xf>
    <xf borderId="0" fillId="5" fontId="13" numFmtId="0" xfId="0" applyFont="1"/>
    <xf borderId="0" fillId="5" fontId="13" numFmtId="0" xfId="0" applyAlignment="1" applyFont="1">
      <alignment readingOrder="0"/>
    </xf>
    <xf borderId="0" fillId="2" fontId="14" numFmtId="0" xfId="0" applyAlignment="1" applyFont="1">
      <alignment horizontal="center" readingOrder="0" shrinkToFit="0" vertical="bottom" wrapText="1"/>
    </xf>
    <xf borderId="0" fillId="2" fontId="1" numFmtId="0" xfId="0" applyAlignment="1" applyFont="1">
      <alignment horizontal="center" readingOrder="0" shrinkToFit="0" vertical="bottom" wrapText="1"/>
    </xf>
    <xf borderId="0" fillId="3" fontId="15" numFmtId="3" xfId="0" applyAlignment="1" applyFont="1" applyNumberFormat="1">
      <alignment horizontal="center" readingOrder="0" vertical="bottom"/>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vertical="bottom"/>
    </xf>
    <xf borderId="0" fillId="0" fontId="13" numFmtId="0" xfId="0" applyAlignment="1" applyFont="1">
      <alignment readingOrder="0"/>
    </xf>
    <xf borderId="0" fillId="0" fontId="3" numFmtId="0" xfId="0" applyAlignment="1" applyFont="1">
      <alignment readingOrder="0" vertical="bottom"/>
    </xf>
    <xf borderId="0" fillId="0" fontId="6" numFmtId="0" xfId="0" applyAlignment="1" applyFont="1">
      <alignment horizontal="center" readingOrder="0"/>
    </xf>
    <xf borderId="1" fillId="7" fontId="1" numFmtId="0" xfId="0" applyAlignment="1" applyBorder="1" applyFill="1" applyFont="1">
      <alignment horizontal="center" vertical="bottom"/>
    </xf>
    <xf borderId="2" fillId="7" fontId="1" numFmtId="0" xfId="0" applyAlignment="1" applyBorder="1" applyFont="1">
      <alignment horizontal="center" vertical="bottom"/>
    </xf>
    <xf borderId="3" fillId="7" fontId="1" numFmtId="0" xfId="0" applyAlignment="1" applyBorder="1" applyFont="1">
      <alignment horizontal="center" vertical="bottom"/>
    </xf>
    <xf borderId="4" fillId="3" fontId="3" numFmtId="0" xfId="0" applyAlignment="1" applyBorder="1" applyFont="1">
      <alignment readingOrder="0" vertical="bottom"/>
    </xf>
    <xf borderId="5" fillId="3" fontId="3" numFmtId="0" xfId="0" applyAlignment="1" applyBorder="1" applyFont="1">
      <alignment readingOrder="0" vertical="bottom"/>
    </xf>
    <xf borderId="6" fillId="3" fontId="3" numFmtId="0" xfId="0" applyAlignment="1" applyBorder="1" applyFont="1">
      <alignment readingOrder="0" vertical="bottom"/>
    </xf>
    <xf borderId="7" fillId="3" fontId="3" numFmtId="0" xfId="0" applyAlignment="1" applyBorder="1" applyFont="1">
      <alignment readingOrder="0" vertical="bottom"/>
    </xf>
    <xf borderId="8" fillId="3" fontId="3" numFmtId="0" xfId="0" applyAlignment="1" applyBorder="1" applyFont="1">
      <alignment readingOrder="0" vertical="bottom"/>
    </xf>
    <xf borderId="1" fillId="2" fontId="19" numFmtId="0" xfId="0" applyAlignment="1" applyBorder="1" applyFont="1">
      <alignment horizontal="center" readingOrder="0"/>
    </xf>
    <xf borderId="2" fillId="0" fontId="20" numFmtId="0" xfId="0" applyBorder="1" applyFont="1"/>
    <xf borderId="3" fillId="0" fontId="20" numFmtId="0" xfId="0" applyBorder="1" applyFont="1"/>
    <xf borderId="0" fillId="3" fontId="3" numFmtId="3" xfId="0" applyAlignment="1" applyFont="1" applyNumberFormat="1">
      <alignment horizontal="right" readingOrder="0" vertical="bottom"/>
    </xf>
    <xf borderId="0" fillId="0" fontId="13" numFmtId="0" xfId="0" applyAlignment="1" applyFont="1">
      <alignment horizontal="right" readingOrder="0"/>
    </xf>
    <xf borderId="0" fillId="3" fontId="3" numFmtId="0" xfId="0" applyAlignment="1" applyFont="1">
      <alignment vertical="bottom"/>
    </xf>
    <xf borderId="0" fillId="3" fontId="3" numFmtId="164" xfId="0" applyAlignment="1" applyFont="1" applyNumberFormat="1">
      <alignment horizontal="center" readingOrder="0" vertical="bottom"/>
    </xf>
    <xf borderId="0" fillId="0" fontId="21" numFmtId="0" xfId="0" applyAlignment="1" applyFont="1">
      <alignment vertical="bottom"/>
    </xf>
    <xf borderId="0" fillId="8" fontId="3" numFmtId="0" xfId="0" applyAlignment="1" applyFill="1" applyFont="1">
      <alignment readingOrder="0" vertical="bottom"/>
    </xf>
    <xf borderId="0" fillId="5" fontId="1" numFmtId="0" xfId="0" applyAlignment="1" applyFont="1">
      <alignment vertical="bottom"/>
    </xf>
    <xf borderId="0" fillId="5" fontId="1" numFmtId="0" xfId="0" applyAlignment="1" applyFont="1">
      <alignment readingOrder="0" vertical="bottom"/>
    </xf>
    <xf borderId="0" fillId="5" fontId="1" numFmtId="0" xfId="0" applyAlignment="1" applyFont="1">
      <alignment horizontal="center" shrinkToFit="0" vertical="bottom" wrapText="1"/>
    </xf>
    <xf borderId="0" fillId="5" fontId="3" numFmtId="0" xfId="0" applyAlignment="1" applyFont="1">
      <alignment readingOrder="0" vertical="bottom"/>
    </xf>
    <xf borderId="0" fillId="5" fontId="3" numFmtId="4" xfId="0" applyAlignment="1" applyFont="1" applyNumberFormat="1">
      <alignment horizontal="center" readingOrder="0" vertical="bottom"/>
    </xf>
    <xf borderId="0" fillId="5" fontId="3" numFmtId="9" xfId="0" applyAlignment="1" applyFont="1" applyNumberFormat="1">
      <alignment horizontal="center" vertical="bottom"/>
    </xf>
    <xf borderId="0" fillId="5" fontId="3" numFmtId="164" xfId="0" applyAlignment="1" applyFont="1" applyNumberFormat="1">
      <alignment horizontal="right" readingOrder="0" vertical="bottom"/>
    </xf>
    <xf borderId="0" fillId="3" fontId="3" numFmtId="0" xfId="0" applyAlignment="1" applyFont="1">
      <alignment readingOrder="0" shrinkToFit="0" vertical="bottom" wrapText="1"/>
    </xf>
    <xf borderId="0" fillId="0" fontId="13" numFmtId="0" xfId="0" applyFont="1"/>
    <xf borderId="0" fillId="0" fontId="3" numFmtId="0" xfId="0" applyAlignment="1" applyFont="1">
      <alignment readingOrder="0" shrinkToFit="0" vertical="bottom" wrapText="1"/>
    </xf>
    <xf borderId="0" fillId="2" fontId="1" numFmtId="0" xfId="0" applyAlignment="1" applyFont="1">
      <alignment readingOrder="0" shrinkToFit="0" vertical="bottom" wrapText="1"/>
    </xf>
    <xf borderId="0" fillId="0" fontId="13" numFmtId="0" xfId="0" applyAlignment="1" applyFont="1">
      <alignment readingOrder="0" shrinkToFit="0" wrapText="1"/>
    </xf>
    <xf borderId="0" fillId="2" fontId="22" numFmtId="0" xfId="0" applyAlignment="1" applyFont="1">
      <alignment vertical="bottom"/>
    </xf>
    <xf borderId="0" fillId="2" fontId="22" numFmtId="0" xfId="0" applyAlignment="1" applyFont="1">
      <alignment readingOrder="0" vertical="bottom"/>
    </xf>
    <xf borderId="0" fillId="2" fontId="22" numFmtId="0" xfId="0" applyAlignment="1" applyFont="1">
      <alignment horizontal="center" shrinkToFit="0" vertical="bottom" wrapText="1"/>
    </xf>
    <xf borderId="0" fillId="0" fontId="23" numFmtId="0" xfId="0" applyAlignment="1" applyFont="1">
      <alignment vertical="bottom"/>
    </xf>
    <xf borderId="0" fillId="0" fontId="13" numFmtId="0" xfId="0" applyFont="1"/>
    <xf borderId="0" fillId="0" fontId="13" numFmtId="10" xfId="0" applyAlignment="1" applyFont="1" applyNumberFormat="1">
      <alignment readingOrder="0"/>
    </xf>
    <xf borderId="0" fillId="9" fontId="3" numFmtId="9" xfId="0" applyAlignment="1" applyFill="1" applyFont="1" applyNumberFormat="1">
      <alignment horizontal="center" vertical="bottom"/>
    </xf>
    <xf borderId="0" fillId="3" fontId="13" numFmtId="0" xfId="0" applyAlignment="1" applyFont="1">
      <alignment readingOrder="0"/>
    </xf>
    <xf borderId="0" fillId="3" fontId="3" numFmtId="4" xfId="0" applyAlignment="1" applyFont="1" applyNumberFormat="1">
      <alignment horizontal="center" readingOrder="0" vertical="bottom"/>
    </xf>
    <xf borderId="0" fillId="0" fontId="24" numFmtId="0" xfId="0" applyAlignment="1" applyFont="1">
      <alignment readingOrder="0" vertical="bottom"/>
    </xf>
    <xf borderId="0" fillId="0" fontId="3" numFmtId="0" xfId="0" applyAlignment="1" applyFont="1">
      <alignment vertical="bottom"/>
    </xf>
    <xf borderId="0" fillId="0" fontId="13" numFmtId="0" xfId="0" applyAlignment="1" applyFont="1">
      <alignment horizontal="left" readingOrder="0" shrinkToFit="0" vertical="top" wrapText="1"/>
    </xf>
    <xf borderId="0" fillId="3" fontId="3" numFmtId="9" xfId="0" applyAlignment="1" applyFont="1" applyNumberFormat="1">
      <alignment readingOrder="0" vertical="bottom"/>
    </xf>
    <xf borderId="0" fillId="10" fontId="25" numFmtId="0" xfId="0" applyAlignment="1" applyFill="1" applyFont="1">
      <alignment readingOrder="0"/>
    </xf>
    <xf borderId="0" fillId="3" fontId="3" numFmtId="167" xfId="0" applyAlignment="1" applyFont="1" applyNumberFormat="1">
      <alignment readingOrder="0" vertical="bottom"/>
    </xf>
    <xf borderId="0" fillId="0" fontId="26" numFmtId="0" xfId="0" applyAlignment="1" applyFont="1">
      <alignment readingOrder="0"/>
    </xf>
    <xf borderId="0" fillId="5" fontId="3" numFmtId="3" xfId="0" applyAlignment="1" applyFont="1" applyNumberFormat="1">
      <alignment horizontal="center" readingOrder="0" vertical="bottom"/>
    </xf>
    <xf borderId="0" fillId="5" fontId="3" numFmtId="3" xfId="0" applyAlignment="1" applyFont="1" applyNumberFormat="1">
      <alignment readingOrder="0" vertical="bottom"/>
    </xf>
    <xf borderId="0" fillId="0" fontId="3" numFmtId="0" xfId="0" applyAlignment="1" applyFont="1">
      <alignment horizontal="center" vertical="bottom"/>
    </xf>
    <xf borderId="0" fillId="0" fontId="13" numFmtId="0" xfId="0" applyAlignment="1" applyFont="1">
      <alignment horizontal="center"/>
    </xf>
    <xf borderId="0" fillId="0" fontId="27" numFmtId="0" xfId="0" applyAlignment="1" applyFont="1">
      <alignment horizontal="center" readingOrder="0" vertical="bottom"/>
    </xf>
    <xf borderId="0" fillId="7" fontId="28" numFmtId="0" xfId="0" applyAlignment="1" applyFont="1">
      <alignment horizontal="center" readingOrder="0" vertical="bottom"/>
    </xf>
    <xf borderId="0" fillId="0" fontId="1" numFmtId="0" xfId="0" applyAlignment="1" applyFont="1">
      <alignment horizontal="center" readingOrder="0" shrinkToFit="0" vertical="bottom" wrapText="1"/>
    </xf>
    <xf borderId="0" fillId="0" fontId="28" numFmtId="0" xfId="0" applyAlignment="1" applyFont="1">
      <alignment horizontal="center" readingOrder="0" vertical="bottom"/>
    </xf>
    <xf borderId="0" fillId="0" fontId="1" numFmtId="0" xfId="0" applyAlignment="1" applyFont="1">
      <alignment vertical="bottom"/>
    </xf>
    <xf borderId="0" fillId="2" fontId="1" numFmtId="0" xfId="0" applyAlignment="1" applyFont="1">
      <alignment vertical="bottom"/>
    </xf>
    <xf borderId="0" fillId="3" fontId="3" numFmtId="10" xfId="0" applyAlignment="1" applyFont="1" applyNumberFormat="1">
      <alignment horizontal="center" readingOrder="0" shrinkToFit="0" vertical="bottom" wrapText="1"/>
    </xf>
    <xf borderId="0" fillId="3" fontId="21" numFmtId="10" xfId="0" applyAlignment="1" applyFont="1" applyNumberFormat="1">
      <alignment horizontal="center" shrinkToFit="0" vertical="bottom" wrapText="1"/>
    </xf>
    <xf borderId="0" fillId="0" fontId="21" numFmtId="9" xfId="0" applyAlignment="1" applyFont="1" applyNumberFormat="1">
      <alignment horizontal="center" shrinkToFit="0" vertical="bottom" wrapText="1"/>
    </xf>
    <xf borderId="0" fillId="3" fontId="3" numFmtId="0" xfId="0" applyAlignment="1" applyFont="1">
      <alignment horizontal="center" readingOrder="0" vertical="bottom"/>
    </xf>
    <xf borderId="0" fillId="3" fontId="3" numFmtId="49" xfId="0" applyAlignment="1" applyFont="1" applyNumberFormat="1">
      <alignment horizontal="center" readingOrder="0" vertical="bottom"/>
    </xf>
    <xf borderId="0" fillId="0" fontId="21" numFmtId="9" xfId="0" applyAlignment="1" applyFont="1" applyNumberFormat="1">
      <alignment horizontal="center" vertical="bottom"/>
    </xf>
    <xf borderId="0" fillId="0" fontId="29" numFmtId="0" xfId="0" applyAlignment="1" applyFont="1">
      <alignment readingOrder="0" vertical="bottom"/>
    </xf>
    <xf borderId="0" fillId="0" fontId="13" numFmtId="0" xfId="0" applyAlignment="1" applyFont="1">
      <alignment shrinkToFit="0" wrapText="1"/>
    </xf>
    <xf borderId="0" fillId="11" fontId="30" numFmtId="0" xfId="0" applyAlignment="1" applyFill="1" applyFont="1">
      <alignment shrinkToFit="0" wrapText="0"/>
    </xf>
    <xf borderId="0" fillId="0" fontId="21" numFmtId="0" xfId="0" applyAlignment="1" applyFont="1">
      <alignment readingOrder="0" vertical="bottom"/>
    </xf>
    <xf borderId="0" fillId="4" fontId="21" numFmtId="9" xfId="0" applyAlignment="1" applyFont="1" applyNumberFormat="1">
      <alignment horizontal="center" vertical="bottom"/>
    </xf>
    <xf borderId="0" fillId="0" fontId="31" numFmtId="0" xfId="0" applyAlignment="1" applyFont="1">
      <alignment horizontal="center" readingOrder="0" shrinkToFit="0" vertical="bottom" wrapText="1"/>
    </xf>
    <xf borderId="0" fillId="3" fontId="21" numFmtId="9" xfId="0" applyAlignment="1" applyFont="1" applyNumberFormat="1">
      <alignment horizontal="center" readingOrder="0" shrinkToFit="0" vertical="bottom" wrapText="1"/>
    </xf>
    <xf borderId="0" fillId="0" fontId="32" numFmtId="0" xfId="0" applyAlignment="1" applyFont="1">
      <alignment readingOrder="0" vertical="bottom"/>
    </xf>
    <xf borderId="0" fillId="0" fontId="33" numFmtId="0" xfId="0" applyFont="1"/>
    <xf borderId="0" fillId="0" fontId="34" numFmtId="0" xfId="0" applyAlignment="1" applyFont="1">
      <alignment readingOrder="0"/>
    </xf>
    <xf borderId="0" fillId="0" fontId="35" numFmtId="0" xfId="0" applyFont="1"/>
    <xf borderId="0" fillId="0" fontId="35" numFmtId="0" xfId="0" applyAlignment="1" applyFont="1">
      <alignment readingOrder="0"/>
    </xf>
    <xf borderId="0" fillId="0" fontId="36" numFmtId="0" xfId="0" applyFont="1"/>
    <xf borderId="0" fillId="0" fontId="37" numFmtId="0" xfId="0" applyAlignment="1" applyFont="1">
      <alignment readingOrder="0"/>
    </xf>
    <xf borderId="0" fillId="0" fontId="38" numFmtId="0" xfId="0" applyAlignment="1" applyFont="1">
      <alignment readingOrder="0"/>
    </xf>
    <xf borderId="0" fillId="0" fontId="37" numFmtId="0" xfId="0" applyFont="1"/>
    <xf borderId="0" fillId="0" fontId="36" numFmtId="0" xfId="0" applyAlignment="1" applyFont="1">
      <alignment readingOrder="0"/>
    </xf>
    <xf borderId="0" fillId="0" fontId="38" numFmtId="0" xfId="0" applyFont="1"/>
    <xf borderId="0" fillId="0" fontId="39" numFmtId="0" xfId="0" applyAlignment="1" applyFont="1">
      <alignment readingOrder="0"/>
    </xf>
    <xf borderId="0" fillId="0" fontId="13" numFmtId="0" xfId="0" applyAlignment="1" applyFont="1">
      <alignment horizontal="left" readingOrder="0" shrinkToFit="0" vertical="center" wrapText="0"/>
    </xf>
    <xf borderId="0" fillId="0" fontId="13" numFmtId="0" xfId="0" applyAlignment="1" applyFont="1">
      <alignment horizontal="left" readingOrder="0" shrinkToFit="0" vertical="center" wrapText="1"/>
    </xf>
    <xf borderId="0" fillId="0" fontId="13" numFmtId="0" xfId="0" applyAlignment="1" applyFont="1">
      <alignment shrinkToFit="0" vertical="center" wrapText="0"/>
    </xf>
    <xf borderId="0" fillId="0" fontId="13" numFmtId="0" xfId="0" applyAlignment="1" applyFont="1">
      <alignment shrinkToFit="0" vertical="center" wrapText="1"/>
    </xf>
    <xf borderId="0" fillId="2" fontId="19" numFmtId="0" xfId="0" applyAlignment="1" applyFont="1">
      <alignment readingOrder="0"/>
    </xf>
    <xf borderId="0" fillId="0" fontId="3" numFmtId="3" xfId="0" applyAlignment="1" applyFont="1" applyNumberFormat="1">
      <alignment horizontal="center" vertical="bottom"/>
    </xf>
    <xf borderId="0" fillId="0" fontId="3" numFmtId="3" xfId="0" applyAlignment="1" applyFont="1" applyNumberFormat="1">
      <alignment vertical="bottom"/>
    </xf>
    <xf borderId="0" fillId="0" fontId="3" numFmtId="9" xfId="0" applyAlignment="1" applyFont="1" applyNumberFormat="1">
      <alignment horizontal="center" vertical="bottom"/>
    </xf>
    <xf borderId="0" fillId="0" fontId="3" numFmtId="164" xfId="0" applyAlignment="1" applyFont="1" applyNumberFormat="1">
      <alignment horizontal="right" vertical="bottom"/>
    </xf>
    <xf borderId="0" fillId="0" fontId="21" numFmtId="0" xfId="0" applyAlignment="1" applyFont="1">
      <alignment readingOrder="0" vertical="bottom"/>
    </xf>
    <xf borderId="0" fillId="0" fontId="40" numFmtId="0" xfId="0" applyAlignment="1" applyFont="1">
      <alignment horizontal="right" readingOrder="0" vertical="bottom"/>
    </xf>
    <xf borderId="0" fillId="0" fontId="40" numFmtId="0" xfId="0" applyAlignment="1" applyFont="1">
      <alignment vertical="bottom"/>
    </xf>
    <xf quotePrefix="1" borderId="0" fillId="0" fontId="15" numFmtId="0" xfId="0" applyAlignment="1" applyFont="1">
      <alignment vertical="bottom"/>
    </xf>
    <xf borderId="0" fillId="0" fontId="15" numFmtId="0" xfId="0" applyAlignment="1" applyFont="1">
      <alignment vertical="bottom"/>
    </xf>
    <xf borderId="0" fillId="0" fontId="40" numFmtId="0" xfId="0" applyAlignment="1" applyFont="1">
      <alignment readingOrder="0" vertical="bottom"/>
    </xf>
    <xf borderId="0" fillId="0" fontId="40" numFmtId="0" xfId="0" applyAlignment="1" applyFont="1">
      <alignment horizontal="right" vertical="bottom"/>
    </xf>
    <xf borderId="0" fillId="0" fontId="41" numFmtId="0" xfId="0" applyAlignment="1" applyFont="1">
      <alignment horizontal="right" readingOrder="0" vertical="bottom"/>
    </xf>
    <xf borderId="0" fillId="0" fontId="15" numFmtId="0" xfId="0" applyAlignment="1" applyFont="1">
      <alignment readingOrder="0" vertical="bottom"/>
    </xf>
    <xf borderId="0" fillId="0" fontId="6" numFmtId="0" xfId="0" applyAlignment="1" applyFont="1">
      <alignment horizontal="right" readingOrder="0"/>
    </xf>
    <xf borderId="0" fillId="0" fontId="3" numFmtId="0" xfId="0" applyAlignment="1" applyFont="1">
      <alignment readingOrder="0" vertical="bottom"/>
    </xf>
    <xf borderId="0" fillId="0" fontId="24" numFmtId="0" xfId="0" applyAlignment="1" applyFont="1">
      <alignment readingOrder="0" vertical="bottom"/>
    </xf>
    <xf borderId="0" fillId="0" fontId="13" numFmtId="0" xfId="0" applyAlignment="1" applyFont="1">
      <alignment horizontal="left" readingOrder="0" shrinkToFit="0" vertical="top" wrapText="0"/>
    </xf>
  </cellXfs>
  <cellStyles count="1">
    <cellStyle xfId="0" name="Normal" builtinId="0"/>
  </cellStyles>
  <dxfs count="7">
    <dxf>
      <font/>
      <fill>
        <patternFill patternType="solid">
          <fgColor rgb="FFB7E1CD"/>
          <bgColor rgb="FFB7E1CD"/>
        </patternFill>
      </fill>
      <border/>
    </dxf>
    <dxf>
      <font/>
      <fill>
        <patternFill patternType="solid">
          <fgColor rgb="FFF4CCCC"/>
          <bgColor rgb="FFF4CCCC"/>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Adrien-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rien Toullier" id="{52154ff1-84aa-4149-9b2c-a0f3dfbe9164}" providerId="google-sheets"/>
  <x18tc:person displayName="Edouard Catrice" id="{6babe92c-bba5-453f-b052-e3b8c6862a69}" providerId="google-sheets"/>
</x18tc:personList>
</file>

<file path=xl/tables/table1.xml><?xml version="1.0" encoding="utf-8"?>
<table xmlns="http://schemas.openxmlformats.org/spreadsheetml/2006/main" ref="A30:C33" displayName="Tableau1" name="Tableau1" id="1">
  <tableColumns count="3">
    <tableColumn name="Élément" id="1"/>
    <tableColumn name="Objectif 1 : &quot;Un système opérationnel sans accroc et reprenable&quot;" id="2"/>
    <tableColumn name="Objectif 2 : &quot;Un système d'acquisition performant&quot;" id="3"/>
  </tableColumns>
  <tableStyleInfo name="🟠Adrie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4-01T08:26:28.00" personId="{52154ff1-84aa-4149-9b2c-a0f3dfbe9164}" id="{4ca3666a-3f00-41c0-ac36-12a42fee3064}" done="1">
    <x18tc:text xml:space="preserve">Q1</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8" dT="2026-04-13T15:06:51.00" personId="{6babe92c-bba5-453f-b052-e3b8c6862a69}" id="{5524fc2a-1177-4671-a9bf-bfca9e6a9eff}" done="0">
    <x18tc:text xml:space="preserve">Julien FRELAT : Ok
Clément SURSIN : Ko</x18tc:text>
  </x18tc:threadedComment>
  <x18tc:threadedComment ref="D17" dT="2026-04-13T15:05:53.00" personId="{6babe92c-bba5-453f-b052-e3b8c6862a69}" id="{a19ffcb7-fa6e-42f5-aa80-a1c70b12a609}" done="0">
    <x18tc:text xml:space="preserve">Julien FRELAT</x18tc:text>
  </x18tc:threadedComment>
  <x18tc:threadedComment ref="C19" dT="2026-04-02T09:03:19.00" personId="{6babe92c-bba5-453f-b052-e3b8c6862a69}" id="{758ec7ab-2da5-45f1-9a29-6b5731841e37}" done="0">
    <x18tc:text xml:space="preserve">Sophie : 35 jours
Eric : 60 jours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etabase.steeple.com/dashboard/132-team-produit?tab=485-contributeurs"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8.xml"/><Relationship Id="rId5" Type="http://schemas.openxmlformats.org/officeDocument/2006/relationships/vmlDrawing" Target="../drawings/vmlDrawing9.vml"/><Relationship Id="rId7"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3.xml"/><Relationship Id="rId5"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53.0"/>
  </cols>
  <sheetData>
    <row r="1">
      <c r="A1" s="1" t="s">
        <v>0</v>
      </c>
      <c r="B1" s="2" t="s">
        <v>1</v>
      </c>
      <c r="C1" s="3" t="s">
        <v>2</v>
      </c>
      <c r="D1" s="3" t="s">
        <v>3</v>
      </c>
      <c r="E1" s="3" t="s">
        <v>4</v>
      </c>
      <c r="F1" s="3" t="s">
        <v>5</v>
      </c>
      <c r="G1" s="3" t="s">
        <v>6</v>
      </c>
      <c r="I1" s="4"/>
    </row>
    <row r="2">
      <c r="A2" s="5" t="s">
        <v>7</v>
      </c>
      <c r="B2" s="5" t="s">
        <v>8</v>
      </c>
      <c r="C2" s="6">
        <v>95682.0</v>
      </c>
      <c r="D2" s="6">
        <v>104753.0</v>
      </c>
      <c r="E2" s="6">
        <v>300000.0</v>
      </c>
      <c r="F2" s="7">
        <f t="shared" ref="F2:F4" si="1">(D2-C2) / (E2-C2)</f>
        <v>0.04439648</v>
      </c>
      <c r="G2" s="8">
        <v>46112.0</v>
      </c>
      <c r="I2" s="4"/>
    </row>
    <row r="3">
      <c r="A3" s="5" t="s">
        <v>9</v>
      </c>
      <c r="B3" s="5" t="s">
        <v>10</v>
      </c>
      <c r="C3" s="6">
        <v>328516.0</v>
      </c>
      <c r="D3" s="6">
        <v>324655.0</v>
      </c>
      <c r="E3" s="6">
        <v>450000.0</v>
      </c>
      <c r="F3" s="7">
        <f t="shared" si="1"/>
        <v>-0.03178196306</v>
      </c>
      <c r="G3" s="8">
        <v>46112.0</v>
      </c>
      <c r="I3" s="4"/>
    </row>
    <row r="4">
      <c r="A4" s="5" t="s">
        <v>11</v>
      </c>
      <c r="B4" s="5" t="s">
        <v>12</v>
      </c>
      <c r="C4" s="9">
        <f>C2/C3</f>
        <v>0.2912552204</v>
      </c>
      <c r="D4" s="9">
        <v>0.321</v>
      </c>
      <c r="E4" s="10">
        <v>0.65</v>
      </c>
      <c r="F4" s="7">
        <f t="shared" si="1"/>
        <v>0.08291348404</v>
      </c>
      <c r="G4" s="8">
        <v>46112.0</v>
      </c>
      <c r="I4" s="4"/>
    </row>
    <row r="5">
      <c r="A5" s="11"/>
      <c r="B5" s="12"/>
      <c r="C5" s="13"/>
      <c r="D5" s="13"/>
      <c r="E5" s="13"/>
      <c r="F5" s="13"/>
      <c r="G5" s="13"/>
      <c r="I5" s="4"/>
    </row>
    <row r="6">
      <c r="A6" s="14"/>
      <c r="B6" s="15"/>
      <c r="C6" s="16"/>
      <c r="D6" s="16"/>
      <c r="E6" s="16"/>
      <c r="F6" s="16"/>
      <c r="G6" s="16"/>
      <c r="I6" s="4"/>
    </row>
    <row r="7">
      <c r="A7" s="17" t="s">
        <v>13</v>
      </c>
      <c r="B7" s="1" t="s">
        <v>14</v>
      </c>
      <c r="C7" s="3" t="s">
        <v>2</v>
      </c>
      <c r="D7" s="3" t="s">
        <v>3</v>
      </c>
      <c r="E7" s="3" t="s">
        <v>4</v>
      </c>
      <c r="F7" s="3" t="s">
        <v>5</v>
      </c>
      <c r="G7" s="3" t="s">
        <v>6</v>
      </c>
      <c r="I7" s="4"/>
    </row>
    <row r="8">
      <c r="A8" s="5" t="s">
        <v>7</v>
      </c>
      <c r="B8" s="5" t="s">
        <v>15</v>
      </c>
      <c r="C8" s="9">
        <v>0.09</v>
      </c>
      <c r="D8" s="9">
        <f>29645/D3</f>
        <v>0.09131231615</v>
      </c>
      <c r="E8" s="10">
        <v>0.2</v>
      </c>
      <c r="F8" s="7">
        <f>(D8-C8) / (E8-C8)</f>
        <v>0.01193014683</v>
      </c>
      <c r="G8" s="8">
        <v>46081.0</v>
      </c>
      <c r="I8" s="18"/>
    </row>
    <row r="9">
      <c r="A9" s="5" t="s">
        <v>9</v>
      </c>
      <c r="B9" s="5" t="s">
        <v>16</v>
      </c>
      <c r="C9" s="19">
        <v>0.0</v>
      </c>
      <c r="D9" s="20">
        <v>18.6</v>
      </c>
      <c r="E9" s="6">
        <v>1000.0</v>
      </c>
      <c r="F9" s="21">
        <f>D9/E9</f>
        <v>0.0186</v>
      </c>
      <c r="G9" s="8">
        <v>46113.0</v>
      </c>
      <c r="I9" s="4"/>
    </row>
    <row r="10">
      <c r="A10" s="5" t="s">
        <v>11</v>
      </c>
      <c r="B10" s="5" t="s">
        <v>17</v>
      </c>
      <c r="C10" s="9">
        <f>277917/C3</f>
        <v>0.8459770605</v>
      </c>
      <c r="D10" s="9">
        <f>279024/D3</f>
        <v>0.8594477214</v>
      </c>
      <c r="E10" s="10">
        <v>1.0</v>
      </c>
      <c r="F10" s="7">
        <f t="shared" ref="F10:F11" si="2">(D10-C10) / (E10-C10)</f>
        <v>0.08745879666</v>
      </c>
      <c r="G10" s="8">
        <v>46113.0</v>
      </c>
      <c r="I10" s="4"/>
    </row>
    <row r="11">
      <c r="A11" s="5" t="s">
        <v>18</v>
      </c>
      <c r="B11" s="5" t="s">
        <v>19</v>
      </c>
      <c r="C11" s="19">
        <v>0.0</v>
      </c>
      <c r="D11" s="9">
        <f>1/12</f>
        <v>0.08333333333</v>
      </c>
      <c r="E11" s="10">
        <v>0.8</v>
      </c>
      <c r="F11" s="7">
        <f t="shared" si="2"/>
        <v>0.1041666667</v>
      </c>
      <c r="G11" s="8">
        <v>46081.0</v>
      </c>
      <c r="I11" s="18"/>
    </row>
    <row r="12">
      <c r="A12" s="22"/>
      <c r="B12" s="22"/>
      <c r="C12" s="22"/>
      <c r="D12" s="22"/>
      <c r="E12" s="22"/>
      <c r="F12" s="22"/>
      <c r="G12" s="22"/>
      <c r="I12" s="4"/>
    </row>
    <row r="13">
      <c r="A13" s="22"/>
      <c r="B13" s="22"/>
      <c r="C13" s="22"/>
      <c r="D13" s="22"/>
      <c r="E13" s="22"/>
      <c r="F13" s="22"/>
      <c r="G13" s="22"/>
      <c r="I13" s="4"/>
    </row>
    <row r="14">
      <c r="A14" s="17" t="s">
        <v>13</v>
      </c>
      <c r="B14" s="1" t="s">
        <v>20</v>
      </c>
      <c r="C14" s="3" t="s">
        <v>2</v>
      </c>
      <c r="D14" s="3" t="s">
        <v>3</v>
      </c>
      <c r="E14" s="3" t="s">
        <v>4</v>
      </c>
      <c r="F14" s="3" t="s">
        <v>5</v>
      </c>
      <c r="G14" s="3" t="s">
        <v>6</v>
      </c>
      <c r="I14" s="4"/>
    </row>
    <row r="15">
      <c r="A15" s="5" t="s">
        <v>7</v>
      </c>
      <c r="B15" s="5" t="s">
        <v>21</v>
      </c>
      <c r="C15" s="19">
        <v>0.0</v>
      </c>
      <c r="D15" s="6">
        <v>10912.0</v>
      </c>
      <c r="E15" s="6">
        <v>16500.0</v>
      </c>
      <c r="F15" s="7">
        <f t="shared" ref="F15:F17" si="3">(D15-C15) / (E15-C15)</f>
        <v>0.6613333333</v>
      </c>
      <c r="G15" s="8">
        <v>46093.0</v>
      </c>
      <c r="I15" s="18" t="s">
        <v>22</v>
      </c>
    </row>
    <row r="16">
      <c r="A16" s="5" t="s">
        <v>9</v>
      </c>
      <c r="B16" s="5" t="s">
        <v>23</v>
      </c>
      <c r="C16" s="19">
        <v>0.0</v>
      </c>
      <c r="D16" s="6">
        <f>423+150+170+7</f>
        <v>750</v>
      </c>
      <c r="E16" s="6">
        <v>50000.0</v>
      </c>
      <c r="F16" s="21">
        <f t="shared" si="3"/>
        <v>0.015</v>
      </c>
      <c r="G16" s="8">
        <v>46081.0</v>
      </c>
      <c r="I16" s="18"/>
    </row>
    <row r="17">
      <c r="A17" s="5" t="s">
        <v>11</v>
      </c>
      <c r="B17" s="5" t="s">
        <v>24</v>
      </c>
      <c r="C17" s="6">
        <v>0.0</v>
      </c>
      <c r="D17" s="6">
        <f>90+55+118+150</f>
        <v>413</v>
      </c>
      <c r="E17" s="6">
        <v>100000.0</v>
      </c>
      <c r="F17" s="21">
        <f t="shared" si="3"/>
        <v>0.00413</v>
      </c>
      <c r="G17" s="8">
        <v>46093.0</v>
      </c>
      <c r="I17" s="4"/>
    </row>
    <row r="18">
      <c r="I18" s="4"/>
    </row>
    <row r="19">
      <c r="I19" s="4"/>
    </row>
    <row r="20">
      <c r="I20" s="4"/>
    </row>
    <row r="21">
      <c r="I21" s="4"/>
    </row>
    <row r="22">
      <c r="I22" s="4"/>
    </row>
    <row r="23">
      <c r="I23" s="4"/>
    </row>
    <row r="24">
      <c r="I24" s="4"/>
    </row>
    <row r="25">
      <c r="I25" s="4"/>
    </row>
    <row r="26">
      <c r="I26" s="4"/>
    </row>
    <row r="27">
      <c r="B27" s="23"/>
      <c r="C27" s="24"/>
      <c r="D27" s="24"/>
      <c r="I27" s="4"/>
    </row>
    <row r="28">
      <c r="I28" s="4"/>
    </row>
    <row r="29">
      <c r="I29" s="4"/>
    </row>
    <row r="30">
      <c r="I30" s="4"/>
    </row>
    <row r="31">
      <c r="I31" s="4"/>
    </row>
    <row r="32">
      <c r="I32" s="4"/>
    </row>
    <row r="33">
      <c r="I33" s="4"/>
    </row>
    <row r="34">
      <c r="I34" s="4"/>
    </row>
    <row r="35">
      <c r="I35" s="4"/>
    </row>
    <row r="36">
      <c r="I36" s="4"/>
    </row>
    <row r="37">
      <c r="I37" s="4"/>
    </row>
    <row r="38">
      <c r="I38" s="4"/>
    </row>
    <row r="39">
      <c r="I39" s="4"/>
    </row>
    <row r="40">
      <c r="I40" s="4"/>
    </row>
    <row r="41">
      <c r="I41" s="4"/>
    </row>
    <row r="42">
      <c r="I42" s="4"/>
    </row>
    <row r="43">
      <c r="I43" s="4"/>
    </row>
    <row r="44">
      <c r="I44" s="4"/>
    </row>
    <row r="45">
      <c r="I45" s="4"/>
    </row>
    <row r="46">
      <c r="I46" s="4"/>
    </row>
    <row r="47">
      <c r="I47" s="4"/>
    </row>
    <row r="48">
      <c r="I48" s="4"/>
    </row>
    <row r="49">
      <c r="I49" s="4"/>
    </row>
    <row r="50">
      <c r="I50" s="4"/>
    </row>
    <row r="51">
      <c r="I51" s="4"/>
    </row>
    <row r="52">
      <c r="I52" s="4"/>
    </row>
    <row r="53">
      <c r="I53" s="4"/>
    </row>
    <row r="54">
      <c r="I54" s="4"/>
    </row>
    <row r="55">
      <c r="I55" s="4"/>
    </row>
    <row r="56">
      <c r="I56" s="4"/>
    </row>
    <row r="57">
      <c r="I57" s="4"/>
    </row>
    <row r="58">
      <c r="I58" s="4"/>
    </row>
    <row r="59">
      <c r="I59" s="4"/>
    </row>
    <row r="60">
      <c r="I60" s="4"/>
    </row>
    <row r="61">
      <c r="I61" s="4"/>
    </row>
    <row r="62">
      <c r="I62" s="4"/>
    </row>
    <row r="63">
      <c r="I63" s="4"/>
    </row>
    <row r="64">
      <c r="I64" s="4"/>
    </row>
    <row r="65">
      <c r="I65" s="4"/>
    </row>
    <row r="66">
      <c r="I66" s="4"/>
    </row>
    <row r="67">
      <c r="I67" s="4"/>
    </row>
    <row r="68">
      <c r="I68" s="4"/>
    </row>
    <row r="69">
      <c r="I69" s="4"/>
    </row>
    <row r="70">
      <c r="I70" s="4"/>
    </row>
    <row r="71">
      <c r="I71" s="4"/>
    </row>
    <row r="72">
      <c r="I72" s="4"/>
    </row>
    <row r="73">
      <c r="I73" s="4"/>
    </row>
    <row r="74">
      <c r="I74" s="4"/>
    </row>
    <row r="75">
      <c r="I75" s="4"/>
    </row>
    <row r="76">
      <c r="I76" s="4"/>
    </row>
    <row r="77">
      <c r="I77" s="4"/>
    </row>
    <row r="78">
      <c r="I78" s="4"/>
    </row>
    <row r="79">
      <c r="I79" s="4"/>
    </row>
    <row r="80">
      <c r="I80" s="4"/>
    </row>
    <row r="81">
      <c r="I81" s="4"/>
    </row>
    <row r="82">
      <c r="I82" s="4"/>
    </row>
    <row r="83">
      <c r="I83" s="4"/>
    </row>
    <row r="84">
      <c r="I84" s="4"/>
    </row>
    <row r="85">
      <c r="I85" s="4"/>
    </row>
    <row r="86">
      <c r="I86" s="4"/>
    </row>
    <row r="87">
      <c r="I87" s="4"/>
    </row>
    <row r="88">
      <c r="I88" s="4"/>
    </row>
    <row r="89">
      <c r="I89" s="4"/>
    </row>
    <row r="90">
      <c r="I90" s="4"/>
    </row>
    <row r="91">
      <c r="I91" s="4"/>
    </row>
    <row r="92">
      <c r="I92" s="4"/>
    </row>
    <row r="93">
      <c r="I93" s="4"/>
    </row>
    <row r="94">
      <c r="I94" s="4"/>
    </row>
    <row r="95">
      <c r="I95" s="4"/>
    </row>
    <row r="96">
      <c r="I96" s="4"/>
    </row>
    <row r="97">
      <c r="I97" s="4"/>
    </row>
    <row r="98">
      <c r="I98" s="4"/>
    </row>
    <row r="99">
      <c r="I99" s="4"/>
    </row>
    <row r="100">
      <c r="I100" s="4"/>
    </row>
    <row r="101">
      <c r="I101" s="4"/>
    </row>
    <row r="102">
      <c r="I102" s="4"/>
    </row>
    <row r="103">
      <c r="I103" s="4"/>
    </row>
    <row r="104">
      <c r="I104" s="4"/>
    </row>
    <row r="105">
      <c r="I105" s="4"/>
    </row>
    <row r="106">
      <c r="I106" s="4"/>
    </row>
    <row r="107">
      <c r="I107" s="4"/>
    </row>
    <row r="108">
      <c r="I108" s="4"/>
    </row>
    <row r="109">
      <c r="I109" s="4"/>
    </row>
    <row r="110">
      <c r="I110" s="4"/>
    </row>
    <row r="111">
      <c r="I111" s="4"/>
    </row>
    <row r="112">
      <c r="I112" s="4"/>
    </row>
    <row r="113">
      <c r="I113" s="4"/>
    </row>
    <row r="114">
      <c r="I114" s="4"/>
    </row>
    <row r="115">
      <c r="I115" s="4"/>
    </row>
    <row r="116">
      <c r="I116" s="4"/>
    </row>
    <row r="117">
      <c r="I117" s="4"/>
    </row>
    <row r="118">
      <c r="I118" s="4"/>
    </row>
    <row r="119">
      <c r="I119" s="4"/>
    </row>
    <row r="120">
      <c r="I120" s="4"/>
    </row>
    <row r="121">
      <c r="I121" s="4"/>
    </row>
    <row r="122">
      <c r="I122" s="4"/>
    </row>
    <row r="123">
      <c r="I123" s="4"/>
    </row>
    <row r="124">
      <c r="I124" s="4"/>
    </row>
    <row r="125">
      <c r="I125" s="4"/>
    </row>
    <row r="126">
      <c r="I126" s="4"/>
    </row>
    <row r="127">
      <c r="I127" s="4"/>
    </row>
    <row r="128">
      <c r="I128" s="4"/>
    </row>
    <row r="129">
      <c r="I129" s="4"/>
    </row>
    <row r="130">
      <c r="I130" s="4"/>
    </row>
    <row r="131">
      <c r="I131" s="4"/>
    </row>
    <row r="132">
      <c r="I132" s="4"/>
    </row>
    <row r="133">
      <c r="I133" s="4"/>
    </row>
    <row r="134">
      <c r="I134" s="4"/>
    </row>
    <row r="135">
      <c r="I135" s="4"/>
    </row>
    <row r="136">
      <c r="I136" s="4"/>
    </row>
    <row r="137">
      <c r="I137" s="4"/>
    </row>
    <row r="138">
      <c r="I138" s="4"/>
    </row>
    <row r="139">
      <c r="I139" s="4"/>
    </row>
    <row r="140">
      <c r="I140" s="4"/>
    </row>
    <row r="141">
      <c r="I141" s="4"/>
    </row>
    <row r="142">
      <c r="I142" s="4"/>
    </row>
    <row r="143">
      <c r="I143" s="4"/>
    </row>
    <row r="144">
      <c r="I144" s="4"/>
    </row>
    <row r="145">
      <c r="I145" s="4"/>
    </row>
    <row r="146">
      <c r="I146" s="4"/>
    </row>
    <row r="147">
      <c r="I147" s="4"/>
    </row>
    <row r="148">
      <c r="I148" s="4"/>
    </row>
    <row r="149">
      <c r="I149" s="4"/>
    </row>
    <row r="150">
      <c r="I150" s="4"/>
    </row>
    <row r="151">
      <c r="I151" s="4"/>
    </row>
    <row r="152">
      <c r="I152" s="4"/>
    </row>
    <row r="153">
      <c r="I153" s="4"/>
    </row>
    <row r="154">
      <c r="I154" s="4"/>
    </row>
    <row r="155">
      <c r="I155" s="4"/>
    </row>
    <row r="156">
      <c r="I156" s="4"/>
    </row>
    <row r="157">
      <c r="I157" s="4"/>
    </row>
    <row r="158">
      <c r="I158" s="4"/>
    </row>
    <row r="159">
      <c r="I159" s="4"/>
    </row>
    <row r="160">
      <c r="I160" s="4"/>
    </row>
    <row r="161">
      <c r="I161" s="4"/>
    </row>
    <row r="162">
      <c r="I162" s="4"/>
    </row>
    <row r="163">
      <c r="I163" s="4"/>
    </row>
    <row r="164">
      <c r="I164" s="4"/>
    </row>
    <row r="165">
      <c r="I165" s="4"/>
    </row>
    <row r="166">
      <c r="I166" s="4"/>
    </row>
    <row r="167">
      <c r="I167" s="4"/>
    </row>
    <row r="168">
      <c r="I168" s="4"/>
    </row>
    <row r="169">
      <c r="I169" s="4"/>
    </row>
    <row r="170">
      <c r="I170" s="4"/>
    </row>
    <row r="171">
      <c r="I171" s="4"/>
    </row>
    <row r="172">
      <c r="I172" s="4"/>
    </row>
    <row r="173">
      <c r="I173" s="4"/>
    </row>
    <row r="174">
      <c r="I174" s="4"/>
    </row>
    <row r="175">
      <c r="I175" s="4"/>
    </row>
    <row r="176">
      <c r="I176" s="4"/>
    </row>
    <row r="177">
      <c r="I177" s="4"/>
    </row>
    <row r="178">
      <c r="I178" s="4"/>
    </row>
    <row r="179">
      <c r="I179" s="4"/>
    </row>
    <row r="180">
      <c r="I180" s="4"/>
    </row>
    <row r="181">
      <c r="I181" s="4"/>
    </row>
    <row r="182">
      <c r="I182" s="4"/>
    </row>
    <row r="183">
      <c r="I183" s="4"/>
    </row>
    <row r="184">
      <c r="I184" s="4"/>
    </row>
    <row r="185">
      <c r="I185" s="4"/>
    </row>
    <row r="186">
      <c r="I186" s="4"/>
    </row>
    <row r="187">
      <c r="I187" s="4"/>
    </row>
    <row r="188">
      <c r="I188" s="4"/>
    </row>
    <row r="189">
      <c r="I189" s="4"/>
    </row>
    <row r="190">
      <c r="I190" s="4"/>
    </row>
    <row r="191">
      <c r="I191" s="4"/>
    </row>
    <row r="192">
      <c r="I192" s="4"/>
    </row>
    <row r="193">
      <c r="I193" s="4"/>
    </row>
    <row r="194">
      <c r="I194" s="4"/>
    </row>
    <row r="195">
      <c r="I195" s="4"/>
    </row>
    <row r="196">
      <c r="I196" s="4"/>
    </row>
    <row r="197">
      <c r="I197" s="4"/>
    </row>
    <row r="198">
      <c r="I198" s="4"/>
    </row>
    <row r="199">
      <c r="I199" s="4"/>
    </row>
    <row r="200">
      <c r="I200" s="4"/>
    </row>
    <row r="201">
      <c r="I201" s="4"/>
    </row>
    <row r="202">
      <c r="I202" s="4"/>
    </row>
    <row r="203">
      <c r="I203" s="4"/>
    </row>
    <row r="204">
      <c r="I204" s="4"/>
    </row>
    <row r="205">
      <c r="I205" s="4"/>
    </row>
    <row r="206">
      <c r="I206" s="4"/>
    </row>
    <row r="207">
      <c r="I207" s="4"/>
    </row>
    <row r="208">
      <c r="I208" s="4"/>
    </row>
    <row r="209">
      <c r="I209" s="4"/>
    </row>
    <row r="210">
      <c r="I210" s="4"/>
    </row>
    <row r="211">
      <c r="I211" s="4"/>
    </row>
    <row r="212">
      <c r="I212" s="4"/>
    </row>
    <row r="213">
      <c r="I213" s="4"/>
    </row>
    <row r="214">
      <c r="I214" s="4"/>
    </row>
    <row r="215">
      <c r="I215" s="4"/>
    </row>
    <row r="216">
      <c r="I216" s="4"/>
    </row>
    <row r="217">
      <c r="I217" s="4"/>
    </row>
    <row r="218">
      <c r="I218" s="4"/>
    </row>
    <row r="219">
      <c r="I219" s="4"/>
    </row>
    <row r="220">
      <c r="I220" s="4"/>
    </row>
    <row r="221">
      <c r="I221" s="4"/>
    </row>
    <row r="222">
      <c r="I222" s="4"/>
    </row>
    <row r="223">
      <c r="I223" s="4"/>
    </row>
    <row r="224">
      <c r="I224" s="4"/>
    </row>
    <row r="225">
      <c r="I225" s="4"/>
    </row>
    <row r="226">
      <c r="I226" s="4"/>
    </row>
    <row r="227">
      <c r="I227" s="4"/>
    </row>
    <row r="228">
      <c r="I228" s="4"/>
    </row>
    <row r="229">
      <c r="I229" s="4"/>
    </row>
    <row r="230">
      <c r="I230" s="4"/>
    </row>
    <row r="231">
      <c r="I231" s="4"/>
    </row>
    <row r="232">
      <c r="I232" s="4"/>
    </row>
    <row r="233">
      <c r="I233" s="4"/>
    </row>
    <row r="234">
      <c r="I234" s="4"/>
    </row>
    <row r="235">
      <c r="I235" s="4"/>
    </row>
    <row r="236">
      <c r="I236" s="4"/>
    </row>
    <row r="237">
      <c r="I237" s="4"/>
    </row>
    <row r="238">
      <c r="I238" s="4"/>
    </row>
    <row r="239">
      <c r="I239" s="4"/>
    </row>
    <row r="240">
      <c r="I240" s="4"/>
    </row>
    <row r="241">
      <c r="I241" s="4"/>
    </row>
    <row r="242">
      <c r="I242" s="4"/>
    </row>
    <row r="243">
      <c r="I243" s="4"/>
    </row>
    <row r="244">
      <c r="I244" s="4"/>
    </row>
    <row r="245">
      <c r="I245" s="4"/>
    </row>
    <row r="246">
      <c r="I246" s="4"/>
    </row>
    <row r="247">
      <c r="I247" s="4"/>
    </row>
    <row r="248">
      <c r="I248" s="4"/>
    </row>
    <row r="249">
      <c r="I249" s="4"/>
    </row>
    <row r="250">
      <c r="I250" s="4"/>
    </row>
    <row r="251">
      <c r="I251" s="4"/>
    </row>
    <row r="252">
      <c r="I252" s="4"/>
    </row>
    <row r="253">
      <c r="I253" s="4"/>
    </row>
    <row r="254">
      <c r="I254" s="4"/>
    </row>
    <row r="255">
      <c r="I255" s="4"/>
    </row>
    <row r="256">
      <c r="I256" s="4"/>
    </row>
    <row r="257">
      <c r="I257" s="4"/>
    </row>
    <row r="258">
      <c r="I258" s="4"/>
    </row>
    <row r="259">
      <c r="I259" s="4"/>
    </row>
    <row r="260">
      <c r="I260" s="4"/>
    </row>
    <row r="261">
      <c r="I261" s="4"/>
    </row>
    <row r="262">
      <c r="I262" s="4"/>
    </row>
    <row r="263">
      <c r="I263" s="4"/>
    </row>
    <row r="264">
      <c r="I264" s="4"/>
    </row>
    <row r="265">
      <c r="I265" s="4"/>
    </row>
    <row r="266">
      <c r="I266" s="4"/>
    </row>
    <row r="267">
      <c r="I267" s="4"/>
    </row>
    <row r="268">
      <c r="I268" s="4"/>
    </row>
    <row r="269">
      <c r="I269" s="4"/>
    </row>
    <row r="270">
      <c r="I270" s="4"/>
    </row>
    <row r="271">
      <c r="I271" s="4"/>
    </row>
    <row r="272">
      <c r="I272" s="4"/>
    </row>
    <row r="273">
      <c r="I273" s="4"/>
    </row>
    <row r="274">
      <c r="I274" s="4"/>
    </row>
    <row r="275">
      <c r="I275" s="4"/>
    </row>
    <row r="276">
      <c r="I276" s="4"/>
    </row>
    <row r="277">
      <c r="I277" s="4"/>
    </row>
    <row r="278">
      <c r="I278" s="4"/>
    </row>
    <row r="279">
      <c r="I279" s="4"/>
    </row>
    <row r="280">
      <c r="I280" s="4"/>
    </row>
    <row r="281">
      <c r="I281" s="4"/>
    </row>
    <row r="282">
      <c r="I282" s="4"/>
    </row>
    <row r="283">
      <c r="I283" s="4"/>
    </row>
    <row r="284">
      <c r="I284" s="4"/>
    </row>
    <row r="285">
      <c r="I285" s="4"/>
    </row>
    <row r="286">
      <c r="I286" s="4"/>
    </row>
    <row r="287">
      <c r="I287" s="4"/>
    </row>
    <row r="288">
      <c r="I288" s="4"/>
    </row>
    <row r="289">
      <c r="I289" s="4"/>
    </row>
    <row r="290">
      <c r="I290" s="4"/>
    </row>
    <row r="291">
      <c r="I291" s="4"/>
    </row>
    <row r="292">
      <c r="I292" s="4"/>
    </row>
    <row r="293">
      <c r="I293" s="4"/>
    </row>
    <row r="294">
      <c r="I294" s="4"/>
    </row>
    <row r="295">
      <c r="I295" s="4"/>
    </row>
    <row r="296">
      <c r="I296" s="4"/>
    </row>
    <row r="297">
      <c r="I297" s="4"/>
    </row>
    <row r="298">
      <c r="I298" s="4"/>
    </row>
    <row r="299">
      <c r="I299" s="4"/>
    </row>
    <row r="300">
      <c r="I300" s="4"/>
    </row>
    <row r="301">
      <c r="I301" s="4"/>
    </row>
    <row r="302">
      <c r="I302" s="4"/>
    </row>
    <row r="303">
      <c r="I303" s="4"/>
    </row>
    <row r="304">
      <c r="I304" s="4"/>
    </row>
    <row r="305">
      <c r="I305" s="4"/>
    </row>
    <row r="306">
      <c r="I306" s="4"/>
    </row>
    <row r="307">
      <c r="I307" s="4"/>
    </row>
    <row r="308">
      <c r="I308" s="4"/>
    </row>
    <row r="309">
      <c r="I309" s="4"/>
    </row>
    <row r="310">
      <c r="I310" s="4"/>
    </row>
    <row r="311">
      <c r="I311" s="4"/>
    </row>
    <row r="312">
      <c r="I312" s="4"/>
    </row>
    <row r="313">
      <c r="I313" s="4"/>
    </row>
    <row r="314">
      <c r="I314" s="4"/>
    </row>
    <row r="315">
      <c r="I315" s="4"/>
    </row>
    <row r="316">
      <c r="I316" s="4"/>
    </row>
    <row r="317">
      <c r="I317" s="4"/>
    </row>
    <row r="318">
      <c r="I318" s="4"/>
    </row>
    <row r="319">
      <c r="I319" s="4"/>
    </row>
    <row r="320">
      <c r="I320" s="4"/>
    </row>
    <row r="321">
      <c r="I321" s="4"/>
    </row>
    <row r="322">
      <c r="I322" s="4"/>
    </row>
    <row r="323">
      <c r="I323" s="4"/>
    </row>
    <row r="324">
      <c r="I324" s="4"/>
    </row>
    <row r="325">
      <c r="I325" s="4"/>
    </row>
    <row r="326">
      <c r="I326" s="4"/>
    </row>
    <row r="327">
      <c r="I327" s="4"/>
    </row>
    <row r="328">
      <c r="I328" s="4"/>
    </row>
    <row r="329">
      <c r="I329" s="4"/>
    </row>
    <row r="330">
      <c r="I330" s="4"/>
    </row>
    <row r="331">
      <c r="I331" s="4"/>
    </row>
    <row r="332">
      <c r="I332" s="4"/>
    </row>
    <row r="333">
      <c r="I333" s="4"/>
    </row>
    <row r="334">
      <c r="I334" s="4"/>
    </row>
    <row r="335">
      <c r="I335" s="4"/>
    </row>
    <row r="336">
      <c r="I336" s="4"/>
    </row>
    <row r="337">
      <c r="I337" s="4"/>
    </row>
    <row r="338">
      <c r="I338" s="4"/>
    </row>
    <row r="339">
      <c r="I339" s="4"/>
    </row>
    <row r="340">
      <c r="I340" s="4"/>
    </row>
    <row r="341">
      <c r="I341" s="4"/>
    </row>
    <row r="342">
      <c r="I342" s="4"/>
    </row>
    <row r="343">
      <c r="I343" s="4"/>
    </row>
    <row r="344">
      <c r="I344" s="4"/>
    </row>
    <row r="345">
      <c r="I345" s="4"/>
    </row>
    <row r="346">
      <c r="I346" s="4"/>
    </row>
    <row r="347">
      <c r="I347" s="4"/>
    </row>
    <row r="348">
      <c r="I348" s="4"/>
    </row>
    <row r="349">
      <c r="I349" s="4"/>
    </row>
    <row r="350">
      <c r="I350" s="4"/>
    </row>
    <row r="351">
      <c r="I351" s="4"/>
    </row>
    <row r="352">
      <c r="I352" s="4"/>
    </row>
    <row r="353">
      <c r="I353" s="4"/>
    </row>
    <row r="354">
      <c r="I354" s="4"/>
    </row>
    <row r="355">
      <c r="I355" s="4"/>
    </row>
    <row r="356">
      <c r="I356" s="4"/>
    </row>
    <row r="357">
      <c r="I357" s="4"/>
    </row>
    <row r="358">
      <c r="I358" s="4"/>
    </row>
    <row r="359">
      <c r="I359" s="4"/>
    </row>
    <row r="360">
      <c r="I360" s="4"/>
    </row>
    <row r="361">
      <c r="I361" s="4"/>
    </row>
    <row r="362">
      <c r="I362" s="4"/>
    </row>
    <row r="363">
      <c r="I363" s="4"/>
    </row>
    <row r="364">
      <c r="I364" s="4"/>
    </row>
    <row r="365">
      <c r="I365" s="4"/>
    </row>
    <row r="366">
      <c r="I366" s="4"/>
    </row>
    <row r="367">
      <c r="I367" s="4"/>
    </row>
    <row r="368">
      <c r="I368" s="4"/>
    </row>
    <row r="369">
      <c r="I369" s="4"/>
    </row>
    <row r="370">
      <c r="I370" s="4"/>
    </row>
    <row r="371">
      <c r="I371" s="4"/>
    </row>
    <row r="372">
      <c r="I372" s="4"/>
    </row>
    <row r="373">
      <c r="I373" s="4"/>
    </row>
    <row r="374">
      <c r="I374" s="4"/>
    </row>
    <row r="375">
      <c r="I375" s="4"/>
    </row>
    <row r="376">
      <c r="I376" s="4"/>
    </row>
    <row r="377">
      <c r="I377" s="4"/>
    </row>
    <row r="378">
      <c r="I378" s="4"/>
    </row>
    <row r="379">
      <c r="I379" s="4"/>
    </row>
    <row r="380">
      <c r="I380" s="4"/>
    </row>
    <row r="381">
      <c r="I381" s="4"/>
    </row>
    <row r="382">
      <c r="I382" s="4"/>
    </row>
    <row r="383">
      <c r="I383" s="4"/>
    </row>
    <row r="384">
      <c r="I384" s="4"/>
    </row>
    <row r="385">
      <c r="I385" s="4"/>
    </row>
    <row r="386">
      <c r="I386" s="4"/>
    </row>
    <row r="387">
      <c r="I387" s="4"/>
    </row>
    <row r="388">
      <c r="I388" s="4"/>
    </row>
    <row r="389">
      <c r="I389" s="4"/>
    </row>
    <row r="390">
      <c r="I390" s="4"/>
    </row>
    <row r="391">
      <c r="I391" s="4"/>
    </row>
    <row r="392">
      <c r="I392" s="4"/>
    </row>
    <row r="393">
      <c r="I393" s="4"/>
    </row>
    <row r="394">
      <c r="I394" s="4"/>
    </row>
    <row r="395">
      <c r="I395" s="4"/>
    </row>
    <row r="396">
      <c r="I396" s="4"/>
    </row>
    <row r="397">
      <c r="I397" s="4"/>
    </row>
    <row r="398">
      <c r="I398" s="4"/>
    </row>
    <row r="399">
      <c r="I399" s="4"/>
    </row>
    <row r="400">
      <c r="I400" s="4"/>
    </row>
    <row r="401">
      <c r="I401" s="4"/>
    </row>
    <row r="402">
      <c r="I402" s="4"/>
    </row>
    <row r="403">
      <c r="I403" s="4"/>
    </row>
    <row r="404">
      <c r="I404" s="4"/>
    </row>
    <row r="405">
      <c r="I405" s="4"/>
    </row>
    <row r="406">
      <c r="I406" s="4"/>
    </row>
    <row r="407">
      <c r="I407" s="4"/>
    </row>
    <row r="408">
      <c r="I408" s="4"/>
    </row>
    <row r="409">
      <c r="I409" s="4"/>
    </row>
    <row r="410">
      <c r="I410" s="4"/>
    </row>
    <row r="411">
      <c r="I411" s="4"/>
    </row>
    <row r="412">
      <c r="I412" s="4"/>
    </row>
    <row r="413">
      <c r="I413" s="4"/>
    </row>
    <row r="414">
      <c r="I414" s="4"/>
    </row>
    <row r="415">
      <c r="I415" s="4"/>
    </row>
    <row r="416">
      <c r="I416" s="4"/>
    </row>
    <row r="417">
      <c r="I417" s="4"/>
    </row>
    <row r="418">
      <c r="I418" s="4"/>
    </row>
    <row r="419">
      <c r="I419" s="4"/>
    </row>
    <row r="420">
      <c r="I420" s="4"/>
    </row>
    <row r="421">
      <c r="I421" s="4"/>
    </row>
    <row r="422">
      <c r="I422" s="4"/>
    </row>
    <row r="423">
      <c r="I423" s="4"/>
    </row>
    <row r="424">
      <c r="I424" s="4"/>
    </row>
    <row r="425">
      <c r="I425" s="4"/>
    </row>
    <row r="426">
      <c r="I426" s="4"/>
    </row>
    <row r="427">
      <c r="I427" s="4"/>
    </row>
    <row r="428">
      <c r="I428" s="4"/>
    </row>
    <row r="429">
      <c r="I429" s="4"/>
    </row>
    <row r="430">
      <c r="I430" s="4"/>
    </row>
    <row r="431">
      <c r="I431" s="4"/>
    </row>
    <row r="432">
      <c r="I432" s="4"/>
    </row>
    <row r="433">
      <c r="I433" s="4"/>
    </row>
    <row r="434">
      <c r="I434" s="4"/>
    </row>
    <row r="435">
      <c r="I435" s="4"/>
    </row>
    <row r="436">
      <c r="I436" s="4"/>
    </row>
    <row r="437">
      <c r="I437" s="4"/>
    </row>
    <row r="438">
      <c r="I438" s="4"/>
    </row>
    <row r="439">
      <c r="I439" s="4"/>
    </row>
    <row r="440">
      <c r="I440" s="4"/>
    </row>
    <row r="441">
      <c r="I441" s="4"/>
    </row>
    <row r="442">
      <c r="I442" s="4"/>
    </row>
    <row r="443">
      <c r="I443" s="4"/>
    </row>
    <row r="444">
      <c r="I444" s="4"/>
    </row>
    <row r="445">
      <c r="I445" s="4"/>
    </row>
    <row r="446">
      <c r="I446" s="4"/>
    </row>
    <row r="447">
      <c r="I447" s="4"/>
    </row>
    <row r="448">
      <c r="I448" s="4"/>
    </row>
    <row r="449">
      <c r="I449" s="4"/>
    </row>
    <row r="450">
      <c r="I450" s="4"/>
    </row>
    <row r="451">
      <c r="I451" s="4"/>
    </row>
    <row r="452">
      <c r="I452" s="4"/>
    </row>
    <row r="453">
      <c r="I453" s="4"/>
    </row>
    <row r="454">
      <c r="I454" s="4"/>
    </row>
    <row r="455">
      <c r="I455" s="4"/>
    </row>
    <row r="456">
      <c r="I456" s="4"/>
    </row>
    <row r="457">
      <c r="I457" s="4"/>
    </row>
    <row r="458">
      <c r="I458" s="4"/>
    </row>
    <row r="459">
      <c r="I459" s="4"/>
    </row>
    <row r="460">
      <c r="I460" s="4"/>
    </row>
    <row r="461">
      <c r="I461" s="4"/>
    </row>
    <row r="462">
      <c r="I462" s="4"/>
    </row>
    <row r="463">
      <c r="I463" s="4"/>
    </row>
    <row r="464">
      <c r="I464" s="4"/>
    </row>
    <row r="465">
      <c r="I465" s="4"/>
    </row>
    <row r="466">
      <c r="I466" s="4"/>
    </row>
    <row r="467">
      <c r="I467" s="4"/>
    </row>
    <row r="468">
      <c r="I468" s="4"/>
    </row>
    <row r="469">
      <c r="I469" s="4"/>
    </row>
    <row r="470">
      <c r="I470" s="4"/>
    </row>
    <row r="471">
      <c r="I471" s="4"/>
    </row>
    <row r="472">
      <c r="I472" s="4"/>
    </row>
    <row r="473">
      <c r="I473" s="4"/>
    </row>
    <row r="474">
      <c r="I474" s="4"/>
    </row>
    <row r="475">
      <c r="I475" s="4"/>
    </row>
    <row r="476">
      <c r="I476" s="4"/>
    </row>
    <row r="477">
      <c r="I477" s="4"/>
    </row>
    <row r="478">
      <c r="I478" s="4"/>
    </row>
    <row r="479">
      <c r="I479" s="4"/>
    </row>
    <row r="480">
      <c r="I480" s="4"/>
    </row>
    <row r="481">
      <c r="I481" s="4"/>
    </row>
    <row r="482">
      <c r="I482" s="4"/>
    </row>
    <row r="483">
      <c r="I483" s="4"/>
    </row>
    <row r="484">
      <c r="I484" s="4"/>
    </row>
    <row r="485">
      <c r="I485" s="4"/>
    </row>
    <row r="486">
      <c r="I486" s="4"/>
    </row>
    <row r="487">
      <c r="I487" s="4"/>
    </row>
    <row r="488">
      <c r="I488" s="4"/>
    </row>
    <row r="489">
      <c r="I489" s="4"/>
    </row>
    <row r="490">
      <c r="I490" s="4"/>
    </row>
    <row r="491">
      <c r="I491" s="4"/>
    </row>
    <row r="492">
      <c r="I492" s="4"/>
    </row>
    <row r="493">
      <c r="I493" s="4"/>
    </row>
    <row r="494">
      <c r="I494" s="4"/>
    </row>
    <row r="495">
      <c r="I495" s="4"/>
    </row>
    <row r="496">
      <c r="I496" s="4"/>
    </row>
    <row r="497">
      <c r="I497" s="4"/>
    </row>
    <row r="498">
      <c r="I498" s="4"/>
    </row>
    <row r="499">
      <c r="I499" s="4"/>
    </row>
    <row r="500">
      <c r="I500" s="4"/>
    </row>
    <row r="501">
      <c r="I501" s="4"/>
    </row>
    <row r="502">
      <c r="I502" s="4"/>
    </row>
    <row r="503">
      <c r="I503" s="4"/>
    </row>
    <row r="504">
      <c r="I504" s="4"/>
    </row>
    <row r="505">
      <c r="I505" s="4"/>
    </row>
    <row r="506">
      <c r="I506" s="4"/>
    </row>
    <row r="507">
      <c r="I507" s="4"/>
    </row>
    <row r="508">
      <c r="I508" s="4"/>
    </row>
    <row r="509">
      <c r="I509" s="4"/>
    </row>
    <row r="510">
      <c r="I510" s="4"/>
    </row>
    <row r="511">
      <c r="I511" s="4"/>
    </row>
    <row r="512">
      <c r="I512" s="4"/>
    </row>
    <row r="513">
      <c r="I513" s="4"/>
    </row>
    <row r="514">
      <c r="I514" s="4"/>
    </row>
    <row r="515">
      <c r="I515" s="4"/>
    </row>
    <row r="516">
      <c r="I516" s="4"/>
    </row>
    <row r="517">
      <c r="I517" s="4"/>
    </row>
    <row r="518">
      <c r="I518" s="4"/>
    </row>
    <row r="519">
      <c r="I519" s="4"/>
    </row>
    <row r="520">
      <c r="I520" s="4"/>
    </row>
    <row r="521">
      <c r="I521" s="4"/>
    </row>
    <row r="522">
      <c r="I522" s="4"/>
    </row>
    <row r="523">
      <c r="I523" s="4"/>
    </row>
    <row r="524">
      <c r="I524" s="4"/>
    </row>
    <row r="525">
      <c r="I525" s="4"/>
    </row>
    <row r="526">
      <c r="I526" s="4"/>
    </row>
    <row r="527">
      <c r="I527" s="4"/>
    </row>
    <row r="528">
      <c r="I528" s="4"/>
    </row>
    <row r="529">
      <c r="I529" s="4"/>
    </row>
    <row r="530">
      <c r="I530" s="4"/>
    </row>
    <row r="531">
      <c r="I531" s="4"/>
    </row>
    <row r="532">
      <c r="I532" s="4"/>
    </row>
    <row r="533">
      <c r="I533" s="4"/>
    </row>
    <row r="534">
      <c r="I534" s="4"/>
    </row>
    <row r="535">
      <c r="I535" s="4"/>
    </row>
    <row r="536">
      <c r="I536" s="4"/>
    </row>
    <row r="537">
      <c r="I537" s="4"/>
    </row>
    <row r="538">
      <c r="I538" s="4"/>
    </row>
    <row r="539">
      <c r="I539" s="4"/>
    </row>
    <row r="540">
      <c r="I540" s="4"/>
    </row>
    <row r="541">
      <c r="I541" s="4"/>
    </row>
    <row r="542">
      <c r="I542" s="4"/>
    </row>
    <row r="543">
      <c r="I543" s="4"/>
    </row>
    <row r="544">
      <c r="I544" s="4"/>
    </row>
    <row r="545">
      <c r="I545" s="4"/>
    </row>
    <row r="546">
      <c r="I546" s="4"/>
    </row>
    <row r="547">
      <c r="I547" s="4"/>
    </row>
    <row r="548">
      <c r="I548" s="4"/>
    </row>
    <row r="549">
      <c r="I549" s="4"/>
    </row>
    <row r="550">
      <c r="I550" s="4"/>
    </row>
    <row r="551">
      <c r="I551" s="4"/>
    </row>
    <row r="552">
      <c r="I552" s="4"/>
    </row>
    <row r="553">
      <c r="I553" s="4"/>
    </row>
    <row r="554">
      <c r="I554" s="4"/>
    </row>
    <row r="555">
      <c r="I555" s="4"/>
    </row>
    <row r="556">
      <c r="I556" s="4"/>
    </row>
    <row r="557">
      <c r="I557" s="4"/>
    </row>
    <row r="558">
      <c r="I558" s="4"/>
    </row>
    <row r="559">
      <c r="I559" s="4"/>
    </row>
    <row r="560">
      <c r="I560" s="4"/>
    </row>
    <row r="561">
      <c r="I561" s="4"/>
    </row>
    <row r="562">
      <c r="I562" s="4"/>
    </row>
    <row r="563">
      <c r="I563" s="4"/>
    </row>
    <row r="564">
      <c r="I564" s="4"/>
    </row>
    <row r="565">
      <c r="I565" s="4"/>
    </row>
    <row r="566">
      <c r="I566" s="4"/>
    </row>
    <row r="567">
      <c r="I567" s="4"/>
    </row>
    <row r="568">
      <c r="I568" s="4"/>
    </row>
    <row r="569">
      <c r="I569" s="4"/>
    </row>
    <row r="570">
      <c r="I570" s="4"/>
    </row>
    <row r="571">
      <c r="I571" s="4"/>
    </row>
    <row r="572">
      <c r="I572" s="4"/>
    </row>
    <row r="573">
      <c r="I573" s="4"/>
    </row>
    <row r="574">
      <c r="I574" s="4"/>
    </row>
    <row r="575">
      <c r="I575" s="4"/>
    </row>
    <row r="576">
      <c r="I576" s="4"/>
    </row>
    <row r="577">
      <c r="I577" s="4"/>
    </row>
    <row r="578">
      <c r="I578" s="4"/>
    </row>
    <row r="579">
      <c r="I579" s="4"/>
    </row>
    <row r="580">
      <c r="I580" s="4"/>
    </row>
    <row r="581">
      <c r="I581" s="4"/>
    </row>
    <row r="582">
      <c r="I582" s="4"/>
    </row>
    <row r="583">
      <c r="I583" s="4"/>
    </row>
    <row r="584">
      <c r="I584" s="4"/>
    </row>
    <row r="585">
      <c r="I585" s="4"/>
    </row>
    <row r="586">
      <c r="I586" s="4"/>
    </row>
    <row r="587">
      <c r="I587" s="4"/>
    </row>
    <row r="588">
      <c r="I588" s="4"/>
    </row>
    <row r="589">
      <c r="I589" s="4"/>
    </row>
    <row r="590">
      <c r="I590" s="4"/>
    </row>
    <row r="591">
      <c r="I591" s="4"/>
    </row>
    <row r="592">
      <c r="I592" s="4"/>
    </row>
    <row r="593">
      <c r="I593" s="4"/>
    </row>
    <row r="594">
      <c r="I594" s="4"/>
    </row>
    <row r="595">
      <c r="I595" s="4"/>
    </row>
    <row r="596">
      <c r="I596" s="4"/>
    </row>
    <row r="597">
      <c r="I597" s="4"/>
    </row>
    <row r="598">
      <c r="I598" s="4"/>
    </row>
    <row r="599">
      <c r="I599" s="4"/>
    </row>
    <row r="600">
      <c r="I600" s="4"/>
    </row>
    <row r="601">
      <c r="I601" s="4"/>
    </row>
    <row r="602">
      <c r="I602" s="4"/>
    </row>
    <row r="603">
      <c r="I603" s="4"/>
    </row>
    <row r="604">
      <c r="I604" s="4"/>
    </row>
    <row r="605">
      <c r="I605" s="4"/>
    </row>
    <row r="606">
      <c r="I606" s="4"/>
    </row>
    <row r="607">
      <c r="I607" s="4"/>
    </row>
    <row r="608">
      <c r="I608" s="4"/>
    </row>
    <row r="609">
      <c r="I609" s="4"/>
    </row>
    <row r="610">
      <c r="I610" s="4"/>
    </row>
    <row r="611">
      <c r="I611" s="4"/>
    </row>
    <row r="612">
      <c r="I612" s="4"/>
    </row>
    <row r="613">
      <c r="I613" s="4"/>
    </row>
    <row r="614">
      <c r="I614" s="4"/>
    </row>
    <row r="615">
      <c r="I615" s="4"/>
    </row>
    <row r="616">
      <c r="I616" s="4"/>
    </row>
    <row r="617">
      <c r="I617" s="4"/>
    </row>
    <row r="618">
      <c r="I618" s="4"/>
    </row>
    <row r="619">
      <c r="I619" s="4"/>
    </row>
    <row r="620">
      <c r="I620" s="4"/>
    </row>
    <row r="621">
      <c r="I621" s="4"/>
    </row>
    <row r="622">
      <c r="I622" s="4"/>
    </row>
    <row r="623">
      <c r="I623" s="4"/>
    </row>
    <row r="624">
      <c r="I624" s="4"/>
    </row>
    <row r="625">
      <c r="I625" s="4"/>
    </row>
    <row r="626">
      <c r="I626" s="4"/>
    </row>
    <row r="627">
      <c r="I627" s="4"/>
    </row>
    <row r="628">
      <c r="I628" s="4"/>
    </row>
    <row r="629">
      <c r="I629" s="4"/>
    </row>
    <row r="630">
      <c r="I630" s="4"/>
    </row>
    <row r="631">
      <c r="I631" s="4"/>
    </row>
    <row r="632">
      <c r="I632" s="4"/>
    </row>
    <row r="633">
      <c r="I633" s="4"/>
    </row>
    <row r="634">
      <c r="I634" s="4"/>
    </row>
    <row r="635">
      <c r="I635" s="4"/>
    </row>
    <row r="636">
      <c r="I636" s="4"/>
    </row>
    <row r="637">
      <c r="I637" s="4"/>
    </row>
    <row r="638">
      <c r="I638" s="4"/>
    </row>
    <row r="639">
      <c r="I639" s="4"/>
    </row>
    <row r="640">
      <c r="I640" s="4"/>
    </row>
    <row r="641">
      <c r="I641" s="4"/>
    </row>
    <row r="642">
      <c r="I642" s="4"/>
    </row>
    <row r="643">
      <c r="I643" s="4"/>
    </row>
    <row r="644">
      <c r="I644" s="4"/>
    </row>
    <row r="645">
      <c r="I645" s="4"/>
    </row>
    <row r="646">
      <c r="I646" s="4"/>
    </row>
    <row r="647">
      <c r="I647" s="4"/>
    </row>
    <row r="648">
      <c r="I648" s="4"/>
    </row>
    <row r="649">
      <c r="I649" s="4"/>
    </row>
    <row r="650">
      <c r="I650" s="4"/>
    </row>
    <row r="651">
      <c r="I651" s="4"/>
    </row>
    <row r="652">
      <c r="I652" s="4"/>
    </row>
    <row r="653">
      <c r="I653" s="4"/>
    </row>
    <row r="654">
      <c r="I654" s="4"/>
    </row>
    <row r="655">
      <c r="I655" s="4"/>
    </row>
    <row r="656">
      <c r="I656" s="4"/>
    </row>
    <row r="657">
      <c r="I657" s="4"/>
    </row>
    <row r="658">
      <c r="I658" s="4"/>
    </row>
    <row r="659">
      <c r="I659" s="4"/>
    </row>
    <row r="660">
      <c r="I660" s="4"/>
    </row>
    <row r="661">
      <c r="I661" s="4"/>
    </row>
    <row r="662">
      <c r="I662" s="4"/>
    </row>
    <row r="663">
      <c r="I663" s="4"/>
    </row>
    <row r="664">
      <c r="I664" s="4"/>
    </row>
    <row r="665">
      <c r="I665" s="4"/>
    </row>
    <row r="666">
      <c r="I666" s="4"/>
    </row>
    <row r="667">
      <c r="I667" s="4"/>
    </row>
    <row r="668">
      <c r="I668" s="4"/>
    </row>
    <row r="669">
      <c r="I669" s="4"/>
    </row>
    <row r="670">
      <c r="I670" s="4"/>
    </row>
    <row r="671">
      <c r="I671" s="4"/>
    </row>
    <row r="672">
      <c r="I672" s="4"/>
    </row>
    <row r="673">
      <c r="I673" s="4"/>
    </row>
    <row r="674">
      <c r="I674" s="4"/>
    </row>
    <row r="675">
      <c r="I675" s="4"/>
    </row>
    <row r="676">
      <c r="I676" s="4"/>
    </row>
    <row r="677">
      <c r="I677" s="4"/>
    </row>
    <row r="678">
      <c r="I678" s="4"/>
    </row>
    <row r="679">
      <c r="I679" s="4"/>
    </row>
    <row r="680">
      <c r="I680" s="4"/>
    </row>
    <row r="681">
      <c r="I681" s="4"/>
    </row>
    <row r="682">
      <c r="I682" s="4"/>
    </row>
    <row r="683">
      <c r="I683" s="4"/>
    </row>
    <row r="684">
      <c r="I684" s="4"/>
    </row>
    <row r="685">
      <c r="I685" s="4"/>
    </row>
    <row r="686">
      <c r="I686" s="4"/>
    </row>
    <row r="687">
      <c r="I687" s="4"/>
    </row>
    <row r="688">
      <c r="I688" s="4"/>
    </row>
    <row r="689">
      <c r="I689" s="4"/>
    </row>
    <row r="690">
      <c r="I690" s="4"/>
    </row>
    <row r="691">
      <c r="I691" s="4"/>
    </row>
    <row r="692">
      <c r="I692" s="4"/>
    </row>
    <row r="693">
      <c r="I693" s="4"/>
    </row>
    <row r="694">
      <c r="I694" s="4"/>
    </row>
    <row r="695">
      <c r="I695" s="4"/>
    </row>
    <row r="696">
      <c r="I696" s="4"/>
    </row>
    <row r="697">
      <c r="I697" s="4"/>
    </row>
    <row r="698">
      <c r="I698" s="4"/>
    </row>
    <row r="699">
      <c r="I699" s="4"/>
    </row>
    <row r="700">
      <c r="I700" s="4"/>
    </row>
    <row r="701">
      <c r="I701" s="4"/>
    </row>
    <row r="702">
      <c r="I702" s="4"/>
    </row>
    <row r="703">
      <c r="I703" s="4"/>
    </row>
    <row r="704">
      <c r="I704" s="4"/>
    </row>
    <row r="705">
      <c r="I705" s="4"/>
    </row>
    <row r="706">
      <c r="I706" s="4"/>
    </row>
    <row r="707">
      <c r="I707" s="4"/>
    </row>
    <row r="708">
      <c r="I708" s="4"/>
    </row>
    <row r="709">
      <c r="I709" s="4"/>
    </row>
    <row r="710">
      <c r="I710" s="4"/>
    </row>
    <row r="711">
      <c r="I711" s="4"/>
    </row>
    <row r="712">
      <c r="I712" s="4"/>
    </row>
    <row r="713">
      <c r="I713" s="4"/>
    </row>
    <row r="714">
      <c r="I714" s="4"/>
    </row>
    <row r="715">
      <c r="I715" s="4"/>
    </row>
    <row r="716">
      <c r="I716" s="4"/>
    </row>
    <row r="717">
      <c r="I717" s="4"/>
    </row>
    <row r="718">
      <c r="I718" s="4"/>
    </row>
    <row r="719">
      <c r="I719" s="4"/>
    </row>
    <row r="720">
      <c r="I720" s="4"/>
    </row>
    <row r="721">
      <c r="I721" s="4"/>
    </row>
    <row r="722">
      <c r="I722" s="4"/>
    </row>
    <row r="723">
      <c r="I723" s="4"/>
    </row>
    <row r="724">
      <c r="I724" s="4"/>
    </row>
    <row r="725">
      <c r="I725" s="4"/>
    </row>
    <row r="726">
      <c r="I726" s="4"/>
    </row>
    <row r="727">
      <c r="I727" s="4"/>
    </row>
    <row r="728">
      <c r="I728" s="4"/>
    </row>
    <row r="729">
      <c r="I729" s="4"/>
    </row>
    <row r="730">
      <c r="I730" s="4"/>
    </row>
    <row r="731">
      <c r="I731" s="4"/>
    </row>
    <row r="732">
      <c r="I732" s="4"/>
    </row>
    <row r="733">
      <c r="I733" s="4"/>
    </row>
    <row r="734">
      <c r="I734" s="4"/>
    </row>
    <row r="735">
      <c r="I735" s="4"/>
    </row>
    <row r="736">
      <c r="I736" s="4"/>
    </row>
    <row r="737">
      <c r="I737" s="4"/>
    </row>
    <row r="738">
      <c r="I738" s="4"/>
    </row>
    <row r="739">
      <c r="I739" s="4"/>
    </row>
    <row r="740">
      <c r="I740" s="4"/>
    </row>
    <row r="741">
      <c r="I741" s="4"/>
    </row>
    <row r="742">
      <c r="I742" s="4"/>
    </row>
    <row r="743">
      <c r="I743" s="4"/>
    </row>
    <row r="744">
      <c r="I744" s="4"/>
    </row>
    <row r="745">
      <c r="I745" s="4"/>
    </row>
    <row r="746">
      <c r="I746" s="4"/>
    </row>
    <row r="747">
      <c r="I747" s="4"/>
    </row>
    <row r="748">
      <c r="I748" s="4"/>
    </row>
    <row r="749">
      <c r="I749" s="4"/>
    </row>
    <row r="750">
      <c r="I750" s="4"/>
    </row>
    <row r="751">
      <c r="I751" s="4"/>
    </row>
    <row r="752">
      <c r="I752" s="4"/>
    </row>
    <row r="753">
      <c r="I753" s="4"/>
    </row>
    <row r="754">
      <c r="I754" s="4"/>
    </row>
    <row r="755">
      <c r="I755" s="4"/>
    </row>
    <row r="756">
      <c r="I756" s="4"/>
    </row>
    <row r="757">
      <c r="I757" s="4"/>
    </row>
    <row r="758">
      <c r="I758" s="4"/>
    </row>
    <row r="759">
      <c r="I759" s="4"/>
    </row>
    <row r="760">
      <c r="I760" s="4"/>
    </row>
    <row r="761">
      <c r="I761" s="4"/>
    </row>
    <row r="762">
      <c r="I762" s="4"/>
    </row>
    <row r="763">
      <c r="I763" s="4"/>
    </row>
    <row r="764">
      <c r="I764" s="4"/>
    </row>
    <row r="765">
      <c r="I765" s="4"/>
    </row>
    <row r="766">
      <c r="I766" s="4"/>
    </row>
    <row r="767">
      <c r="I767" s="4"/>
    </row>
    <row r="768">
      <c r="I768" s="4"/>
    </row>
    <row r="769">
      <c r="I769" s="4"/>
    </row>
    <row r="770">
      <c r="I770" s="4"/>
    </row>
    <row r="771">
      <c r="I771" s="4"/>
    </row>
    <row r="772">
      <c r="I772" s="4"/>
    </row>
    <row r="773">
      <c r="I773" s="4"/>
    </row>
    <row r="774">
      <c r="I774" s="4"/>
    </row>
    <row r="775">
      <c r="I775" s="4"/>
    </row>
    <row r="776">
      <c r="I776" s="4"/>
    </row>
    <row r="777">
      <c r="I777" s="4"/>
    </row>
    <row r="778">
      <c r="I778" s="4"/>
    </row>
    <row r="779">
      <c r="I779" s="4"/>
    </row>
    <row r="780">
      <c r="I780" s="4"/>
    </row>
    <row r="781">
      <c r="I781" s="4"/>
    </row>
    <row r="782">
      <c r="I782" s="4"/>
    </row>
    <row r="783">
      <c r="I783" s="4"/>
    </row>
    <row r="784">
      <c r="I784" s="4"/>
    </row>
    <row r="785">
      <c r="I785" s="4"/>
    </row>
    <row r="786">
      <c r="I786" s="4"/>
    </row>
    <row r="787">
      <c r="I787" s="4"/>
    </row>
    <row r="788">
      <c r="I788" s="4"/>
    </row>
    <row r="789">
      <c r="I789" s="4"/>
    </row>
    <row r="790">
      <c r="I790" s="4"/>
    </row>
    <row r="791">
      <c r="I791" s="4"/>
    </row>
    <row r="792">
      <c r="I792" s="4"/>
    </row>
    <row r="793">
      <c r="I793" s="4"/>
    </row>
    <row r="794">
      <c r="I794" s="4"/>
    </row>
    <row r="795">
      <c r="I795" s="4"/>
    </row>
    <row r="796">
      <c r="I796" s="4"/>
    </row>
    <row r="797">
      <c r="I797" s="4"/>
    </row>
    <row r="798">
      <c r="I798" s="4"/>
    </row>
    <row r="799">
      <c r="I799" s="4"/>
    </row>
    <row r="800">
      <c r="I800" s="4"/>
    </row>
    <row r="801">
      <c r="I801" s="4"/>
    </row>
    <row r="802">
      <c r="I802" s="4"/>
    </row>
    <row r="803">
      <c r="I803" s="4"/>
    </row>
    <row r="804">
      <c r="I804" s="4"/>
    </row>
    <row r="805">
      <c r="I805" s="4"/>
    </row>
    <row r="806">
      <c r="I806" s="4"/>
    </row>
    <row r="807">
      <c r="I807" s="4"/>
    </row>
    <row r="808">
      <c r="I808" s="4"/>
    </row>
    <row r="809">
      <c r="I809" s="4"/>
    </row>
    <row r="810">
      <c r="I810" s="4"/>
    </row>
    <row r="811">
      <c r="I811" s="4"/>
    </row>
    <row r="812">
      <c r="I812" s="4"/>
    </row>
    <row r="813">
      <c r="I813" s="4"/>
    </row>
    <row r="814">
      <c r="I814" s="4"/>
    </row>
    <row r="815">
      <c r="I815" s="4"/>
    </row>
    <row r="816">
      <c r="I816" s="4"/>
    </row>
    <row r="817">
      <c r="I817" s="4"/>
    </row>
    <row r="818">
      <c r="I818" s="4"/>
    </row>
    <row r="819">
      <c r="I819" s="4"/>
    </row>
    <row r="820">
      <c r="I820" s="4"/>
    </row>
    <row r="821">
      <c r="I821" s="4"/>
    </row>
    <row r="822">
      <c r="I822" s="4"/>
    </row>
    <row r="823">
      <c r="I823" s="4"/>
    </row>
    <row r="824">
      <c r="I824" s="4"/>
    </row>
    <row r="825">
      <c r="I825" s="4"/>
    </row>
    <row r="826">
      <c r="I826" s="4"/>
    </row>
    <row r="827">
      <c r="I827" s="4"/>
    </row>
    <row r="828">
      <c r="I828" s="4"/>
    </row>
    <row r="829">
      <c r="I829" s="4"/>
    </row>
    <row r="830">
      <c r="I830" s="4"/>
    </row>
    <row r="831">
      <c r="I831" s="4"/>
    </row>
    <row r="832">
      <c r="I832" s="4"/>
    </row>
    <row r="833">
      <c r="I833" s="4"/>
    </row>
    <row r="834">
      <c r="I834" s="4"/>
    </row>
    <row r="835">
      <c r="I835" s="4"/>
    </row>
    <row r="836">
      <c r="I836" s="4"/>
    </row>
    <row r="837">
      <c r="I837" s="4"/>
    </row>
    <row r="838">
      <c r="I838" s="4"/>
    </row>
    <row r="839">
      <c r="I839" s="4"/>
    </row>
    <row r="840">
      <c r="I840" s="4"/>
    </row>
    <row r="841">
      <c r="I841" s="4"/>
    </row>
    <row r="842">
      <c r="I842" s="4"/>
    </row>
    <row r="843">
      <c r="I843" s="4"/>
    </row>
    <row r="844">
      <c r="I844" s="4"/>
    </row>
    <row r="845">
      <c r="I845" s="4"/>
    </row>
    <row r="846">
      <c r="I846" s="4"/>
    </row>
    <row r="847">
      <c r="I847" s="4"/>
    </row>
    <row r="848">
      <c r="I848" s="4"/>
    </row>
    <row r="849">
      <c r="I849" s="4"/>
    </row>
    <row r="850">
      <c r="I850" s="4"/>
    </row>
    <row r="851">
      <c r="I851" s="4"/>
    </row>
    <row r="852">
      <c r="I852" s="4"/>
    </row>
    <row r="853">
      <c r="I853" s="4"/>
    </row>
    <row r="854">
      <c r="I854" s="4"/>
    </row>
    <row r="855">
      <c r="I855" s="4"/>
    </row>
    <row r="856">
      <c r="I856" s="4"/>
    </row>
    <row r="857">
      <c r="I857" s="4"/>
    </row>
    <row r="858">
      <c r="I858" s="4"/>
    </row>
    <row r="859">
      <c r="I859" s="4"/>
    </row>
    <row r="860">
      <c r="I860" s="4"/>
    </row>
    <row r="861">
      <c r="I861" s="4"/>
    </row>
    <row r="862">
      <c r="I862" s="4"/>
    </row>
    <row r="863">
      <c r="I863" s="4"/>
    </row>
    <row r="864">
      <c r="I864" s="4"/>
    </row>
    <row r="865">
      <c r="I865" s="4"/>
    </row>
    <row r="866">
      <c r="I866" s="4"/>
    </row>
    <row r="867">
      <c r="I867" s="4"/>
    </row>
    <row r="868">
      <c r="I868" s="4"/>
    </row>
    <row r="869">
      <c r="I869" s="4"/>
    </row>
    <row r="870">
      <c r="I870" s="4"/>
    </row>
    <row r="871">
      <c r="I871" s="4"/>
    </row>
    <row r="872">
      <c r="I872" s="4"/>
    </row>
    <row r="873">
      <c r="I873" s="4"/>
    </row>
    <row r="874">
      <c r="I874" s="4"/>
    </row>
    <row r="875">
      <c r="I875" s="4"/>
    </row>
    <row r="876">
      <c r="I876" s="4"/>
    </row>
    <row r="877">
      <c r="I877" s="4"/>
    </row>
    <row r="878">
      <c r="I878" s="4"/>
    </row>
    <row r="879">
      <c r="I879" s="4"/>
    </row>
    <row r="880">
      <c r="I880" s="4"/>
    </row>
    <row r="881">
      <c r="I881" s="4"/>
    </row>
    <row r="882">
      <c r="I882" s="4"/>
    </row>
    <row r="883">
      <c r="I883" s="4"/>
    </row>
    <row r="884">
      <c r="I884" s="4"/>
    </row>
    <row r="885">
      <c r="I885" s="4"/>
    </row>
    <row r="886">
      <c r="I886" s="4"/>
    </row>
    <row r="887">
      <c r="I887" s="4"/>
    </row>
    <row r="888">
      <c r="I888" s="4"/>
    </row>
    <row r="889">
      <c r="I889" s="4"/>
    </row>
    <row r="890">
      <c r="I890" s="4"/>
    </row>
    <row r="891">
      <c r="I891" s="4"/>
    </row>
    <row r="892">
      <c r="I892" s="4"/>
    </row>
    <row r="893">
      <c r="I893" s="4"/>
    </row>
    <row r="894">
      <c r="I894" s="4"/>
    </row>
    <row r="895">
      <c r="I895" s="4"/>
    </row>
    <row r="896">
      <c r="I896" s="4"/>
    </row>
    <row r="897">
      <c r="I897" s="4"/>
    </row>
    <row r="898">
      <c r="I898" s="4"/>
    </row>
    <row r="899">
      <c r="I899" s="4"/>
    </row>
    <row r="900">
      <c r="I900" s="4"/>
    </row>
    <row r="901">
      <c r="I901" s="4"/>
    </row>
    <row r="902">
      <c r="I902" s="4"/>
    </row>
    <row r="903">
      <c r="I903" s="4"/>
    </row>
    <row r="904">
      <c r="I904" s="4"/>
    </row>
    <row r="905">
      <c r="I905" s="4"/>
    </row>
    <row r="906">
      <c r="I906" s="4"/>
    </row>
    <row r="907">
      <c r="I907" s="4"/>
    </row>
    <row r="908">
      <c r="I908" s="4"/>
    </row>
    <row r="909">
      <c r="I909" s="4"/>
    </row>
    <row r="910">
      <c r="I910" s="4"/>
    </row>
    <row r="911">
      <c r="I911" s="4"/>
    </row>
    <row r="912">
      <c r="I912" s="4"/>
    </row>
    <row r="913">
      <c r="I913" s="4"/>
    </row>
    <row r="914">
      <c r="I914" s="4"/>
    </row>
    <row r="915">
      <c r="I915" s="4"/>
    </row>
    <row r="916">
      <c r="I916" s="4"/>
    </row>
    <row r="917">
      <c r="I917" s="4"/>
    </row>
    <row r="918">
      <c r="I918" s="4"/>
    </row>
    <row r="919">
      <c r="I919" s="4"/>
    </row>
    <row r="920">
      <c r="I920" s="4"/>
    </row>
    <row r="921">
      <c r="I921" s="4"/>
    </row>
    <row r="922">
      <c r="I922" s="4"/>
    </row>
    <row r="923">
      <c r="I923" s="4"/>
    </row>
    <row r="924">
      <c r="I924" s="4"/>
    </row>
    <row r="925">
      <c r="I925" s="4"/>
    </row>
    <row r="926">
      <c r="I926" s="4"/>
    </row>
    <row r="927">
      <c r="I927" s="4"/>
    </row>
    <row r="928">
      <c r="I928" s="4"/>
    </row>
    <row r="929">
      <c r="I929" s="4"/>
    </row>
    <row r="930">
      <c r="I930" s="4"/>
    </row>
    <row r="931">
      <c r="I931" s="4"/>
    </row>
    <row r="932">
      <c r="I932" s="4"/>
    </row>
    <row r="933">
      <c r="I933" s="4"/>
    </row>
    <row r="934">
      <c r="I934" s="4"/>
    </row>
    <row r="935">
      <c r="I935" s="4"/>
    </row>
    <row r="936">
      <c r="I936" s="4"/>
    </row>
    <row r="937">
      <c r="I937" s="4"/>
    </row>
    <row r="938">
      <c r="I938" s="4"/>
    </row>
    <row r="939">
      <c r="I939" s="4"/>
    </row>
    <row r="940">
      <c r="I940" s="4"/>
    </row>
    <row r="941">
      <c r="I941" s="4"/>
    </row>
    <row r="942">
      <c r="I942" s="4"/>
    </row>
    <row r="943">
      <c r="I943" s="4"/>
    </row>
    <row r="944">
      <c r="I944" s="4"/>
    </row>
    <row r="945">
      <c r="I945" s="4"/>
    </row>
    <row r="946">
      <c r="I946" s="4"/>
    </row>
    <row r="947">
      <c r="I947" s="4"/>
    </row>
    <row r="948">
      <c r="I948" s="4"/>
    </row>
    <row r="949">
      <c r="I949" s="4"/>
    </row>
    <row r="950">
      <c r="I950" s="4"/>
    </row>
    <row r="951">
      <c r="I951" s="4"/>
    </row>
    <row r="952">
      <c r="I952" s="4"/>
    </row>
    <row r="953">
      <c r="I953" s="4"/>
    </row>
    <row r="954">
      <c r="I954" s="4"/>
    </row>
    <row r="955">
      <c r="I955" s="4"/>
    </row>
    <row r="956">
      <c r="I956" s="4"/>
    </row>
    <row r="957">
      <c r="I957" s="4"/>
    </row>
    <row r="958">
      <c r="I958" s="4"/>
    </row>
    <row r="959">
      <c r="I959" s="4"/>
    </row>
    <row r="960">
      <c r="I960" s="4"/>
    </row>
    <row r="961">
      <c r="I961" s="4"/>
    </row>
    <row r="962">
      <c r="I962" s="4"/>
    </row>
    <row r="963">
      <c r="I963" s="4"/>
    </row>
    <row r="964">
      <c r="I964" s="4"/>
    </row>
    <row r="965">
      <c r="I965" s="4"/>
    </row>
    <row r="966">
      <c r="I966" s="4"/>
    </row>
    <row r="967">
      <c r="I967" s="4"/>
    </row>
    <row r="968">
      <c r="I968" s="4"/>
    </row>
    <row r="969">
      <c r="I969" s="4"/>
    </row>
    <row r="970">
      <c r="I970" s="4"/>
    </row>
    <row r="971">
      <c r="I971" s="4"/>
    </row>
    <row r="972">
      <c r="I972" s="4"/>
    </row>
    <row r="973">
      <c r="I973" s="4"/>
    </row>
    <row r="974">
      <c r="I974" s="4"/>
    </row>
    <row r="975">
      <c r="I975" s="4"/>
    </row>
    <row r="976">
      <c r="I976" s="4"/>
    </row>
    <row r="977">
      <c r="I977" s="4"/>
    </row>
    <row r="978">
      <c r="I978" s="4"/>
    </row>
    <row r="979">
      <c r="I979" s="4"/>
    </row>
    <row r="980">
      <c r="I980" s="4"/>
    </row>
    <row r="981">
      <c r="I981" s="4"/>
    </row>
    <row r="982">
      <c r="I982" s="4"/>
    </row>
    <row r="983">
      <c r="I983" s="4"/>
    </row>
    <row r="984">
      <c r="I984" s="4"/>
    </row>
    <row r="985">
      <c r="I985" s="4"/>
    </row>
    <row r="986">
      <c r="I986" s="4"/>
    </row>
    <row r="987">
      <c r="I987" s="4"/>
    </row>
    <row r="988">
      <c r="I988" s="4"/>
    </row>
    <row r="989">
      <c r="I989" s="4"/>
    </row>
    <row r="990">
      <c r="I990" s="4"/>
    </row>
    <row r="991">
      <c r="I991" s="4"/>
    </row>
    <row r="992">
      <c r="I992" s="4"/>
    </row>
    <row r="993">
      <c r="I993" s="4"/>
    </row>
    <row r="994">
      <c r="I994" s="4"/>
    </row>
    <row r="995">
      <c r="I995" s="4"/>
    </row>
    <row r="996">
      <c r="I996" s="4"/>
    </row>
    <row r="997">
      <c r="I997" s="4"/>
    </row>
    <row r="998">
      <c r="I998" s="4"/>
    </row>
    <row r="999">
      <c r="I999" s="4"/>
    </row>
    <row r="1000">
      <c r="I1000" s="4"/>
    </row>
    <row r="1001">
      <c r="I1001" s="4"/>
    </row>
    <row r="1002">
      <c r="I1002" s="4"/>
    </row>
    <row r="1003">
      <c r="I1003" s="4"/>
    </row>
    <row r="1004">
      <c r="I1004" s="4"/>
    </row>
    <row r="1005">
      <c r="I1005" s="4"/>
    </row>
    <row r="1006">
      <c r="I1006" s="4"/>
    </row>
    <row r="1007">
      <c r="I1007" s="4"/>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13</v>
      </c>
      <c r="B1" s="17" t="s">
        <v>25</v>
      </c>
      <c r="C1" s="3" t="s">
        <v>2</v>
      </c>
      <c r="D1" s="3" t="s">
        <v>3</v>
      </c>
      <c r="E1" s="3" t="s">
        <v>4</v>
      </c>
      <c r="F1" s="3" t="s">
        <v>5</v>
      </c>
      <c r="G1" s="3" t="s">
        <v>6</v>
      </c>
    </row>
    <row r="2">
      <c r="A2" s="25" t="s">
        <v>7</v>
      </c>
      <c r="B2" s="25"/>
      <c r="C2" s="19">
        <v>0.0</v>
      </c>
      <c r="D2" s="19">
        <v>0.0</v>
      </c>
      <c r="E2" s="26"/>
      <c r="F2" s="7" t="str">
        <f t="shared" ref="F2:F4" si="1">(D2-C2) / (E2-C2)</f>
        <v>#DIV/0!</v>
      </c>
      <c r="G2" s="27">
        <v>46023.0</v>
      </c>
    </row>
    <row r="3">
      <c r="A3" s="25" t="s">
        <v>9</v>
      </c>
      <c r="B3" s="25"/>
      <c r="C3" s="19">
        <v>0.0</v>
      </c>
      <c r="D3" s="19">
        <v>0.0</v>
      </c>
      <c r="E3" s="26"/>
      <c r="F3" s="7" t="str">
        <f t="shared" si="1"/>
        <v>#DIV/0!</v>
      </c>
      <c r="G3" s="27">
        <v>46023.0</v>
      </c>
    </row>
    <row r="4">
      <c r="A4" s="25" t="s">
        <v>11</v>
      </c>
      <c r="B4" s="25"/>
      <c r="C4" s="19">
        <v>0.0</v>
      </c>
      <c r="D4" s="19">
        <v>0.0</v>
      </c>
      <c r="E4" s="26"/>
      <c r="F4" s="7" t="str">
        <f t="shared" si="1"/>
        <v>#DIV/0!</v>
      </c>
      <c r="G4" s="27">
        <v>46023.0</v>
      </c>
    </row>
    <row r="5">
      <c r="A5" s="22"/>
      <c r="B5" s="22"/>
      <c r="C5" s="22"/>
      <c r="D5" s="22"/>
      <c r="E5" s="22"/>
      <c r="F5" s="22"/>
      <c r="G5" s="22"/>
    </row>
    <row r="6">
      <c r="A6" s="28" t="s">
        <v>26</v>
      </c>
      <c r="B6" s="22"/>
      <c r="C6" s="22"/>
      <c r="D6" s="22"/>
      <c r="E6" s="22"/>
      <c r="F6" s="22"/>
      <c r="G6" s="22"/>
    </row>
    <row r="7">
      <c r="A7" s="22"/>
      <c r="B7" s="22" t="s">
        <v>27</v>
      </c>
      <c r="C7" s="22"/>
      <c r="D7" s="22"/>
      <c r="E7" s="22"/>
      <c r="F7" s="22"/>
      <c r="G7" s="22"/>
    </row>
    <row r="8">
      <c r="A8" s="22"/>
      <c r="B8" s="22" t="s">
        <v>27</v>
      </c>
      <c r="C8" s="22"/>
      <c r="D8" s="22"/>
      <c r="E8" s="22"/>
      <c r="F8" s="22"/>
      <c r="G8" s="22"/>
    </row>
    <row r="9">
      <c r="A9" s="22"/>
      <c r="B9" s="22" t="s">
        <v>27</v>
      </c>
      <c r="C9" s="22"/>
      <c r="D9" s="22"/>
      <c r="E9" s="22"/>
      <c r="F9" s="22"/>
      <c r="G9"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68.0"/>
    <col customWidth="1" min="8" max="8" width="85.13"/>
  </cols>
  <sheetData>
    <row r="1">
      <c r="A1" s="29" t="s">
        <v>13</v>
      </c>
      <c r="B1" s="30" t="s">
        <v>28</v>
      </c>
      <c r="C1" s="31" t="s">
        <v>2</v>
      </c>
      <c r="D1" s="31" t="s">
        <v>3</v>
      </c>
      <c r="E1" s="31" t="s">
        <v>4</v>
      </c>
      <c r="F1" s="31" t="s">
        <v>5</v>
      </c>
      <c r="G1" s="31" t="s">
        <v>6</v>
      </c>
      <c r="H1" s="32"/>
      <c r="I1" s="32"/>
      <c r="J1" s="32"/>
      <c r="K1" s="32"/>
      <c r="L1" s="32"/>
      <c r="M1" s="32"/>
      <c r="N1" s="32"/>
      <c r="O1" s="32"/>
      <c r="P1" s="32"/>
      <c r="Q1" s="32"/>
      <c r="R1" s="32"/>
      <c r="S1" s="32"/>
      <c r="T1" s="32"/>
      <c r="U1" s="32"/>
      <c r="V1" s="32"/>
      <c r="W1" s="32"/>
      <c r="X1" s="32"/>
      <c r="Y1" s="32"/>
      <c r="Z1" s="32"/>
    </row>
    <row r="2">
      <c r="A2" s="33" t="s">
        <v>7</v>
      </c>
      <c r="B2" s="34" t="s">
        <v>29</v>
      </c>
      <c r="C2" s="35">
        <v>864.0</v>
      </c>
      <c r="D2" s="35">
        <v>864.0</v>
      </c>
      <c r="E2" s="35">
        <v>1200.0</v>
      </c>
      <c r="F2" s="36">
        <f>(D2-C2) / (E2-C2)</f>
        <v>0</v>
      </c>
      <c r="G2" s="37">
        <v>46126.0</v>
      </c>
      <c r="H2" s="38" t="s">
        <v>30</v>
      </c>
      <c r="I2" s="32"/>
      <c r="J2" s="32"/>
      <c r="K2" s="32"/>
      <c r="L2" s="32"/>
      <c r="M2" s="32"/>
      <c r="N2" s="32"/>
      <c r="O2" s="32"/>
      <c r="P2" s="32"/>
      <c r="Q2" s="32"/>
      <c r="R2" s="32"/>
      <c r="S2" s="32"/>
      <c r="T2" s="32"/>
      <c r="U2" s="32"/>
      <c r="V2" s="32"/>
      <c r="W2" s="32"/>
      <c r="X2" s="32"/>
      <c r="Y2" s="32"/>
      <c r="Z2" s="32"/>
    </row>
    <row r="3" ht="23.25" customHeight="1">
      <c r="A3" s="33"/>
      <c r="B3" s="34" t="s">
        <v>31</v>
      </c>
      <c r="C3" s="35"/>
      <c r="D3" s="35"/>
      <c r="E3" s="35"/>
      <c r="F3" s="36"/>
      <c r="G3" s="37"/>
      <c r="H3" s="39"/>
      <c r="I3" s="40"/>
      <c r="J3" s="40"/>
      <c r="K3" s="40"/>
      <c r="L3" s="40"/>
      <c r="M3" s="40"/>
      <c r="N3" s="40"/>
      <c r="O3" s="40"/>
      <c r="P3" s="40"/>
      <c r="Q3" s="40"/>
      <c r="R3" s="40"/>
      <c r="S3" s="40"/>
      <c r="T3" s="40"/>
      <c r="U3" s="40"/>
      <c r="V3" s="40"/>
      <c r="W3" s="40"/>
      <c r="X3" s="40"/>
      <c r="Y3" s="40"/>
      <c r="Z3" s="40"/>
    </row>
    <row r="4">
      <c r="A4" s="33"/>
      <c r="B4" s="34" t="s">
        <v>32</v>
      </c>
      <c r="C4" s="35"/>
      <c r="D4" s="35"/>
      <c r="E4" s="35"/>
      <c r="F4" s="36"/>
      <c r="G4" s="37"/>
      <c r="H4" s="40"/>
      <c r="I4" s="40"/>
      <c r="J4" s="40"/>
      <c r="K4" s="40"/>
      <c r="L4" s="40"/>
      <c r="M4" s="40"/>
      <c r="N4" s="40"/>
      <c r="O4" s="40"/>
      <c r="P4" s="40"/>
      <c r="Q4" s="40"/>
      <c r="R4" s="40"/>
      <c r="S4" s="40"/>
      <c r="T4" s="40"/>
      <c r="U4" s="40"/>
      <c r="V4" s="40"/>
      <c r="W4" s="40"/>
      <c r="X4" s="40"/>
      <c r="Y4" s="40"/>
      <c r="Z4" s="40"/>
    </row>
    <row r="5">
      <c r="A5" s="41"/>
      <c r="B5" s="42"/>
      <c r="C5" s="43"/>
      <c r="D5" s="43"/>
      <c r="E5" s="44"/>
      <c r="F5" s="45"/>
      <c r="G5" s="46"/>
      <c r="H5" s="40"/>
      <c r="I5" s="40"/>
      <c r="J5" s="40"/>
      <c r="K5" s="40"/>
      <c r="L5" s="40"/>
      <c r="M5" s="40"/>
      <c r="N5" s="40"/>
      <c r="O5" s="40"/>
      <c r="P5" s="40"/>
      <c r="Q5" s="40"/>
      <c r="R5" s="40"/>
      <c r="S5" s="40"/>
      <c r="T5" s="40"/>
      <c r="U5" s="40"/>
      <c r="V5" s="40"/>
      <c r="W5" s="40"/>
      <c r="X5" s="40"/>
      <c r="Y5" s="40"/>
      <c r="Z5" s="40"/>
    </row>
    <row r="6">
      <c r="A6" s="41" t="s">
        <v>26</v>
      </c>
      <c r="B6" s="42" t="s">
        <v>33</v>
      </c>
      <c r="C6" s="43"/>
      <c r="D6" s="43"/>
      <c r="E6" s="44" t="s">
        <v>34</v>
      </c>
      <c r="F6" s="45"/>
      <c r="G6" s="46"/>
      <c r="H6" s="40"/>
      <c r="I6" s="40"/>
      <c r="J6" s="40"/>
      <c r="K6" s="40"/>
      <c r="L6" s="40"/>
      <c r="M6" s="40"/>
      <c r="N6" s="40"/>
      <c r="O6" s="40"/>
      <c r="P6" s="40"/>
      <c r="Q6" s="40"/>
      <c r="R6" s="40"/>
      <c r="S6" s="40"/>
      <c r="T6" s="40"/>
      <c r="U6" s="40"/>
      <c r="V6" s="40"/>
      <c r="W6" s="40"/>
      <c r="X6" s="40"/>
      <c r="Y6" s="40"/>
      <c r="Z6" s="40"/>
    </row>
    <row r="7" ht="57.0" customHeight="1">
      <c r="A7" s="47"/>
      <c r="B7" s="48"/>
      <c r="C7" s="43"/>
      <c r="D7" s="43"/>
      <c r="E7" s="44"/>
      <c r="F7" s="45"/>
      <c r="G7" s="46"/>
      <c r="H7" s="40"/>
      <c r="I7" s="40"/>
      <c r="J7" s="40"/>
      <c r="K7" s="40"/>
      <c r="L7" s="40"/>
      <c r="M7" s="40"/>
      <c r="N7" s="40"/>
      <c r="O7" s="40"/>
      <c r="P7" s="40"/>
      <c r="Q7" s="40"/>
      <c r="R7" s="40"/>
      <c r="S7" s="40"/>
      <c r="T7" s="40"/>
      <c r="U7" s="40"/>
      <c r="V7" s="40"/>
      <c r="W7" s="40"/>
      <c r="X7" s="40"/>
      <c r="Y7" s="40"/>
      <c r="Z7" s="40"/>
    </row>
    <row r="8">
      <c r="A8" s="29" t="s">
        <v>13</v>
      </c>
      <c r="B8" s="30" t="s">
        <v>35</v>
      </c>
      <c r="C8" s="31" t="s">
        <v>2</v>
      </c>
      <c r="D8" s="31" t="s">
        <v>3</v>
      </c>
      <c r="E8" s="31" t="s">
        <v>4</v>
      </c>
      <c r="F8" s="31" t="s">
        <v>5</v>
      </c>
      <c r="G8" s="31" t="s">
        <v>6</v>
      </c>
      <c r="H8" s="32"/>
      <c r="I8" s="32"/>
      <c r="J8" s="32"/>
      <c r="K8" s="32"/>
      <c r="L8" s="32"/>
      <c r="M8" s="32"/>
      <c r="N8" s="32"/>
      <c r="O8" s="32"/>
      <c r="P8" s="32"/>
      <c r="Q8" s="32"/>
      <c r="R8" s="32"/>
      <c r="S8" s="32"/>
      <c r="T8" s="32"/>
      <c r="U8" s="32"/>
      <c r="V8" s="32"/>
      <c r="W8" s="32"/>
      <c r="X8" s="32"/>
      <c r="Y8" s="32"/>
      <c r="Z8" s="32"/>
    </row>
    <row r="9">
      <c r="A9" s="33" t="s">
        <v>9</v>
      </c>
      <c r="B9" s="34" t="s">
        <v>36</v>
      </c>
      <c r="C9" s="49">
        <v>0.88</v>
      </c>
      <c r="D9" s="49">
        <v>0.88</v>
      </c>
      <c r="E9" s="49">
        <v>0.99</v>
      </c>
      <c r="F9" s="36">
        <f t="shared" ref="F9:F10" si="1">(D9-C9) / (E9-C9)</f>
        <v>0</v>
      </c>
      <c r="G9" s="37">
        <v>46126.0</v>
      </c>
      <c r="H9" s="32"/>
      <c r="I9" s="32"/>
      <c r="J9" s="32"/>
      <c r="K9" s="32"/>
      <c r="L9" s="32"/>
      <c r="M9" s="32"/>
      <c r="N9" s="32"/>
      <c r="O9" s="32"/>
      <c r="P9" s="32"/>
      <c r="Q9" s="32"/>
      <c r="R9" s="32"/>
      <c r="S9" s="32"/>
      <c r="T9" s="32"/>
      <c r="U9" s="32"/>
      <c r="V9" s="32"/>
      <c r="W9" s="32"/>
      <c r="X9" s="32"/>
      <c r="Y9" s="32"/>
      <c r="Z9" s="32"/>
    </row>
    <row r="10">
      <c r="A10" s="33" t="s">
        <v>11</v>
      </c>
      <c r="B10" s="34" t="s">
        <v>37</v>
      </c>
      <c r="C10" s="35">
        <v>0.0</v>
      </c>
      <c r="D10" s="35">
        <v>0.0</v>
      </c>
      <c r="E10" s="35">
        <v>4.0</v>
      </c>
      <c r="F10" s="36">
        <f t="shared" si="1"/>
        <v>0</v>
      </c>
      <c r="G10" s="37">
        <v>46126.0</v>
      </c>
      <c r="H10" s="32"/>
      <c r="I10" s="32"/>
      <c r="J10" s="32"/>
      <c r="K10" s="32"/>
      <c r="L10" s="32"/>
      <c r="M10" s="32"/>
      <c r="N10" s="32"/>
      <c r="O10" s="32"/>
      <c r="P10" s="32"/>
      <c r="Q10" s="32"/>
      <c r="R10" s="32"/>
      <c r="S10" s="32"/>
      <c r="T10" s="32"/>
      <c r="U10" s="32"/>
      <c r="V10" s="32"/>
      <c r="W10" s="32"/>
      <c r="X10" s="32"/>
      <c r="Y10" s="32"/>
      <c r="Z10" s="32"/>
    </row>
    <row r="11" ht="8.25" customHeight="1">
      <c r="A11" s="50"/>
      <c r="B11" s="50"/>
      <c r="C11" s="50"/>
      <c r="D11" s="50"/>
      <c r="E11" s="50"/>
      <c r="F11" s="50"/>
      <c r="G11" s="50"/>
      <c r="H11" s="32"/>
      <c r="I11" s="32"/>
      <c r="J11" s="32"/>
      <c r="K11" s="32"/>
      <c r="L11" s="32"/>
      <c r="M11" s="32"/>
      <c r="N11" s="32"/>
      <c r="O11" s="32"/>
      <c r="P11" s="32"/>
      <c r="Q11" s="32"/>
      <c r="R11" s="32"/>
      <c r="S11" s="32"/>
      <c r="T11" s="32"/>
      <c r="U11" s="32"/>
      <c r="V11" s="32"/>
      <c r="W11" s="32"/>
      <c r="X11" s="32"/>
      <c r="Y11" s="32"/>
      <c r="Z11" s="32"/>
    </row>
    <row r="12">
      <c r="A12" s="41" t="s">
        <v>26</v>
      </c>
      <c r="B12" s="42" t="s">
        <v>38</v>
      </c>
      <c r="C12" s="50"/>
      <c r="D12" s="42" t="s">
        <v>39</v>
      </c>
      <c r="E12" s="50"/>
      <c r="F12" s="50"/>
      <c r="G12" s="50"/>
      <c r="H12" s="32"/>
      <c r="I12" s="32"/>
      <c r="J12" s="32"/>
      <c r="K12" s="32"/>
      <c r="L12" s="32"/>
      <c r="M12" s="32"/>
      <c r="N12" s="32"/>
      <c r="O12" s="32"/>
      <c r="P12" s="32"/>
      <c r="Q12" s="32"/>
      <c r="R12" s="32"/>
      <c r="S12" s="32"/>
      <c r="T12" s="32"/>
      <c r="U12" s="32"/>
      <c r="V12" s="32"/>
      <c r="W12" s="32"/>
      <c r="X12" s="32"/>
      <c r="Y12" s="32"/>
      <c r="Z12" s="32"/>
    </row>
    <row r="13">
      <c r="A13" s="32"/>
      <c r="B13" s="42" t="s">
        <v>40</v>
      </c>
      <c r="C13" s="32"/>
      <c r="D13" s="39" t="s">
        <v>41</v>
      </c>
      <c r="E13" s="32"/>
      <c r="F13" s="32"/>
      <c r="G13" s="32"/>
      <c r="H13" s="32"/>
      <c r="I13" s="32"/>
      <c r="J13" s="32"/>
      <c r="K13" s="32"/>
      <c r="L13" s="32"/>
      <c r="M13" s="32"/>
      <c r="N13" s="32"/>
      <c r="O13" s="32"/>
      <c r="P13" s="32"/>
      <c r="Q13" s="32"/>
      <c r="R13" s="32"/>
      <c r="S13" s="32"/>
      <c r="T13" s="32"/>
      <c r="U13" s="32"/>
      <c r="V13" s="32"/>
      <c r="W13" s="32"/>
      <c r="X13" s="32"/>
      <c r="Y13" s="32"/>
      <c r="Z13" s="32"/>
    </row>
    <row r="14">
      <c r="A14" s="32"/>
      <c r="B14" s="42" t="s">
        <v>42</v>
      </c>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4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9"/>
      <c r="E17" s="32"/>
      <c r="F17" s="32"/>
      <c r="G17" s="32"/>
      <c r="H17" s="32"/>
      <c r="I17" s="32"/>
      <c r="J17" s="32"/>
      <c r="K17" s="32"/>
      <c r="L17" s="32"/>
      <c r="M17" s="32"/>
      <c r="N17" s="32"/>
      <c r="O17" s="32"/>
      <c r="P17" s="32"/>
      <c r="Q17" s="32"/>
      <c r="R17" s="32"/>
      <c r="S17" s="32"/>
      <c r="T17" s="32"/>
      <c r="U17" s="32"/>
      <c r="V17" s="32"/>
      <c r="W17" s="32"/>
      <c r="X17" s="32"/>
      <c r="Y17" s="32"/>
      <c r="Z17" s="32"/>
    </row>
    <row r="18">
      <c r="A18" s="32"/>
      <c r="B18" s="4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hyperlinks>
    <hyperlink r:id="rId2" ref="H2"/>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s>
  <sheetData>
    <row r="1">
      <c r="A1" s="17" t="s">
        <v>13</v>
      </c>
      <c r="B1" s="1" t="s">
        <v>43</v>
      </c>
      <c r="C1" s="3" t="s">
        <v>2</v>
      </c>
      <c r="D1" s="3" t="s">
        <v>3</v>
      </c>
      <c r="E1" s="3" t="s">
        <v>4</v>
      </c>
      <c r="F1" s="3" t="s">
        <v>5</v>
      </c>
      <c r="G1" s="3" t="s">
        <v>6</v>
      </c>
    </row>
    <row r="2">
      <c r="A2" s="25" t="s">
        <v>7</v>
      </c>
      <c r="B2" s="5" t="s">
        <v>44</v>
      </c>
      <c r="C2" s="6">
        <v>2000000.0</v>
      </c>
      <c r="D2" s="19">
        <v>0.0</v>
      </c>
      <c r="E2" s="51">
        <v>2500000.0</v>
      </c>
      <c r="F2" s="7">
        <f t="shared" ref="F2:F3" si="1">(D2-C2) / (E2-C2)</f>
        <v>-4</v>
      </c>
      <c r="G2" s="27">
        <v>46023.0</v>
      </c>
    </row>
    <row r="3">
      <c r="A3" s="25" t="s">
        <v>9</v>
      </c>
      <c r="B3" s="5" t="s">
        <v>45</v>
      </c>
      <c r="C3" s="6">
        <v>13450.0</v>
      </c>
      <c r="D3" s="19">
        <v>0.0</v>
      </c>
      <c r="E3" s="51">
        <v>15000.0</v>
      </c>
      <c r="F3" s="7">
        <f t="shared" si="1"/>
        <v>-8.677419355</v>
      </c>
      <c r="G3" s="27">
        <v>46023.0</v>
      </c>
    </row>
    <row r="4">
      <c r="A4" s="25"/>
      <c r="B4" s="25"/>
      <c r="C4" s="19"/>
      <c r="D4" s="19"/>
      <c r="E4" s="26"/>
      <c r="F4" s="7"/>
      <c r="G4" s="27"/>
    </row>
    <row r="5">
      <c r="A5" s="22"/>
      <c r="B5" s="22"/>
      <c r="C5" s="22"/>
      <c r="D5" s="22"/>
      <c r="E5" s="22"/>
      <c r="F5" s="22"/>
      <c r="G5" s="22"/>
    </row>
    <row r="6">
      <c r="A6" s="28" t="s">
        <v>26</v>
      </c>
      <c r="B6" s="22"/>
      <c r="C6" s="22"/>
      <c r="D6" s="22"/>
      <c r="E6" s="22"/>
      <c r="F6" s="22"/>
      <c r="G6" s="22"/>
    </row>
    <row r="7">
      <c r="A7" s="22"/>
      <c r="B7" s="52" t="s">
        <v>46</v>
      </c>
      <c r="C7" s="22"/>
      <c r="D7" s="22"/>
      <c r="E7" s="22"/>
      <c r="F7" s="22"/>
      <c r="G7" s="22"/>
    </row>
    <row r="8">
      <c r="A8" s="22"/>
      <c r="B8" s="53"/>
      <c r="C8" s="22"/>
      <c r="D8" s="22"/>
      <c r="E8" s="22"/>
      <c r="F8" s="22"/>
      <c r="G8" s="22"/>
    </row>
    <row r="9">
      <c r="A9" s="22"/>
      <c r="B9" s="53"/>
      <c r="C9" s="22"/>
      <c r="D9" s="22"/>
      <c r="E9" s="22"/>
      <c r="F9" s="22"/>
      <c r="G9" s="22"/>
    </row>
    <row r="10">
      <c r="B10" s="54"/>
    </row>
    <row r="11">
      <c r="B11" s="55" t="s">
        <v>47</v>
      </c>
    </row>
    <row r="12">
      <c r="B12" s="5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0"/>
    <col customWidth="1" min="3" max="3" width="11.88"/>
    <col customWidth="1" min="6" max="6" width="14.0"/>
    <col customWidth="1" min="8" max="8" width="34.75"/>
    <col customWidth="1" min="9" max="9" width="22.13"/>
    <col customWidth="1" min="10" max="10" width="36.38"/>
    <col customWidth="1" min="11" max="11" width="58.63"/>
  </cols>
  <sheetData>
    <row r="1">
      <c r="A1" s="17" t="s">
        <v>13</v>
      </c>
      <c r="B1" s="1" t="s">
        <v>48</v>
      </c>
      <c r="C1" s="56" t="s">
        <v>49</v>
      </c>
      <c r="D1" s="3" t="s">
        <v>3</v>
      </c>
      <c r="E1" s="57" t="s">
        <v>50</v>
      </c>
      <c r="F1" s="3" t="s">
        <v>5</v>
      </c>
      <c r="G1" s="3" t="s">
        <v>6</v>
      </c>
    </row>
    <row r="2">
      <c r="A2" s="5" t="s">
        <v>7</v>
      </c>
      <c r="B2" s="5" t="s">
        <v>51</v>
      </c>
      <c r="C2" s="58">
        <v>218000.0</v>
      </c>
      <c r="D2" s="6">
        <v>29200.0</v>
      </c>
      <c r="E2" s="6">
        <v>250000.0</v>
      </c>
      <c r="F2" s="7">
        <f t="shared" ref="F2:F3" si="1">(D2/E2)</f>
        <v>0.1168</v>
      </c>
      <c r="G2" s="8">
        <v>46122.0</v>
      </c>
      <c r="H2" s="59" t="s">
        <v>52</v>
      </c>
    </row>
    <row r="3">
      <c r="A3" s="5" t="s">
        <v>9</v>
      </c>
      <c r="B3" s="5" t="s">
        <v>53</v>
      </c>
      <c r="C3" s="58">
        <v>450000.0</v>
      </c>
      <c r="D3" s="6">
        <v>47150.0</v>
      </c>
      <c r="E3" s="6">
        <v>600000.0</v>
      </c>
      <c r="F3" s="21">
        <f t="shared" si="1"/>
        <v>0.07858333333</v>
      </c>
      <c r="G3" s="8">
        <v>46122.0</v>
      </c>
      <c r="H3" s="60" t="s">
        <v>54</v>
      </c>
    </row>
    <row r="4">
      <c r="A4" s="25" t="s">
        <v>11</v>
      </c>
      <c r="B4" s="5" t="s">
        <v>55</v>
      </c>
      <c r="C4" s="58">
        <v>0.0</v>
      </c>
      <c r="D4" s="19">
        <v>0.0</v>
      </c>
      <c r="E4" s="6">
        <v>100000.0</v>
      </c>
      <c r="F4" s="7">
        <f t="shared" ref="F4:F5" si="2">(D4-C4) / (E4-C4)</f>
        <v>0</v>
      </c>
      <c r="G4" s="8">
        <v>46122.0</v>
      </c>
      <c r="H4" s="59" t="s">
        <v>56</v>
      </c>
    </row>
    <row r="5">
      <c r="A5" s="5" t="s">
        <v>18</v>
      </c>
      <c r="B5" s="5" t="s">
        <v>57</v>
      </c>
      <c r="C5" s="58">
        <v>0.0</v>
      </c>
      <c r="D5" s="19">
        <v>0.0</v>
      </c>
      <c r="E5" s="6" t="s">
        <v>58</v>
      </c>
      <c r="F5" s="7" t="str">
        <f t="shared" si="2"/>
        <v>#VALUE!</v>
      </c>
      <c r="G5" s="8">
        <v>46123.0</v>
      </c>
    </row>
    <row r="6">
      <c r="A6" s="22"/>
      <c r="B6" s="22"/>
      <c r="C6" s="61"/>
      <c r="D6" s="22"/>
      <c r="E6" s="22"/>
      <c r="F6" s="22"/>
      <c r="G6" s="22"/>
    </row>
    <row r="7">
      <c r="A7" s="28" t="s">
        <v>26</v>
      </c>
      <c r="B7" s="62" t="s">
        <v>59</v>
      </c>
      <c r="C7" s="22"/>
      <c r="D7" s="22"/>
      <c r="E7" s="22"/>
      <c r="F7" s="22"/>
      <c r="G7" s="22"/>
    </row>
    <row r="8">
      <c r="A8" s="22"/>
      <c r="B8" s="63" t="s">
        <v>60</v>
      </c>
      <c r="C8" s="22"/>
      <c r="D8" s="22"/>
      <c r="E8" s="22"/>
      <c r="F8" s="22"/>
      <c r="G8" s="22"/>
    </row>
    <row r="9">
      <c r="A9" s="22"/>
      <c r="B9" s="63" t="s">
        <v>61</v>
      </c>
      <c r="C9" s="22"/>
      <c r="D9" s="22"/>
      <c r="E9" s="22"/>
      <c r="F9" s="22"/>
      <c r="G9" s="22"/>
    </row>
    <row r="10">
      <c r="A10" s="22"/>
      <c r="B10" s="62" t="s">
        <v>62</v>
      </c>
      <c r="C10" s="22"/>
      <c r="D10" s="22"/>
      <c r="E10" s="22"/>
      <c r="F10" s="22"/>
      <c r="G10" s="22"/>
    </row>
    <row r="12">
      <c r="A12" s="17" t="s">
        <v>13</v>
      </c>
      <c r="B12" s="1" t="s">
        <v>63</v>
      </c>
      <c r="C12" s="56" t="s">
        <v>49</v>
      </c>
      <c r="D12" s="3" t="s">
        <v>3</v>
      </c>
      <c r="E12" s="3" t="s">
        <v>4</v>
      </c>
      <c r="F12" s="3" t="s">
        <v>5</v>
      </c>
      <c r="G12" s="3" t="s">
        <v>6</v>
      </c>
    </row>
    <row r="13">
      <c r="A13" s="5" t="s">
        <v>7</v>
      </c>
      <c r="B13" s="5" t="s">
        <v>64</v>
      </c>
      <c r="C13" s="58">
        <v>40547.0</v>
      </c>
      <c r="D13" s="6">
        <v>10788.0</v>
      </c>
      <c r="E13" s="6">
        <f>C13*1.2</f>
        <v>48656.4</v>
      </c>
      <c r="F13" s="7">
        <f>D13/E13</f>
        <v>0.2217180063</v>
      </c>
      <c r="G13" s="8">
        <v>46127.0</v>
      </c>
    </row>
    <row r="14">
      <c r="A14" s="22"/>
      <c r="B14" s="22"/>
      <c r="C14" s="22"/>
      <c r="D14" s="22"/>
      <c r="E14" s="22"/>
      <c r="F14" s="22"/>
      <c r="G14" s="22"/>
    </row>
    <row r="15">
      <c r="A15" s="28" t="s">
        <v>26</v>
      </c>
      <c r="B15" s="63" t="s">
        <v>65</v>
      </c>
      <c r="C15" s="22"/>
      <c r="D15" s="22"/>
      <c r="E15" s="22"/>
      <c r="F15" s="22"/>
      <c r="G15" s="22"/>
    </row>
    <row r="16">
      <c r="A16" s="28"/>
      <c r="B16" s="62" t="s">
        <v>66</v>
      </c>
      <c r="C16" s="22"/>
      <c r="D16" s="22"/>
      <c r="E16" s="22"/>
      <c r="F16" s="22"/>
      <c r="G16" s="22"/>
      <c r="J16" s="64" t="s">
        <v>67</v>
      </c>
    </row>
    <row r="17">
      <c r="B17" s="62" t="s">
        <v>68</v>
      </c>
      <c r="C17" s="22"/>
      <c r="D17" s="22"/>
      <c r="E17" s="22"/>
      <c r="F17" s="22"/>
      <c r="G17" s="22"/>
    </row>
    <row r="18">
      <c r="A18" s="22"/>
      <c r="B18" s="62" t="s">
        <v>69</v>
      </c>
      <c r="C18" s="22"/>
      <c r="D18" s="22"/>
      <c r="E18" s="22"/>
      <c r="F18" s="22"/>
      <c r="G18" s="22"/>
      <c r="H18" s="65" t="s">
        <v>70</v>
      </c>
      <c r="I18" s="66" t="s">
        <v>71</v>
      </c>
      <c r="J18" s="66" t="s">
        <v>72</v>
      </c>
      <c r="K18" s="67" t="s">
        <v>73</v>
      </c>
    </row>
    <row r="19">
      <c r="B19" s="62" t="s">
        <v>74</v>
      </c>
      <c r="C19" s="22"/>
      <c r="D19" s="22"/>
      <c r="E19" s="22"/>
      <c r="F19" s="22"/>
      <c r="G19" s="22"/>
      <c r="H19" s="68" t="s">
        <v>75</v>
      </c>
      <c r="I19" s="5" t="s">
        <v>76</v>
      </c>
      <c r="J19" s="5" t="s">
        <v>77</v>
      </c>
      <c r="K19" s="69" t="s">
        <v>78</v>
      </c>
    </row>
    <row r="20">
      <c r="B20" s="62" t="s">
        <v>79</v>
      </c>
      <c r="H20" s="68"/>
      <c r="I20" s="5" t="s">
        <v>80</v>
      </c>
      <c r="J20" s="5" t="s">
        <v>81</v>
      </c>
      <c r="K20" s="69" t="s">
        <v>82</v>
      </c>
    </row>
    <row r="21">
      <c r="B21" s="63" t="s">
        <v>83</v>
      </c>
      <c r="H21" s="68" t="s">
        <v>84</v>
      </c>
      <c r="I21" s="5" t="s">
        <v>85</v>
      </c>
      <c r="J21" s="5" t="s">
        <v>86</v>
      </c>
      <c r="K21" s="69" t="s">
        <v>87</v>
      </c>
    </row>
    <row r="22">
      <c r="B22" s="63" t="s">
        <v>88</v>
      </c>
      <c r="H22" s="68"/>
      <c r="I22" s="5" t="s">
        <v>89</v>
      </c>
      <c r="J22" s="5" t="s">
        <v>90</v>
      </c>
      <c r="K22" s="69" t="s">
        <v>91</v>
      </c>
    </row>
    <row r="23">
      <c r="H23" s="70" t="s">
        <v>92</v>
      </c>
      <c r="I23" s="71" t="s">
        <v>93</v>
      </c>
      <c r="J23" s="71" t="s">
        <v>94</v>
      </c>
      <c r="K23" s="72" t="s">
        <v>95</v>
      </c>
    </row>
    <row r="25">
      <c r="A25" s="73" t="s">
        <v>96</v>
      </c>
      <c r="B25" s="74"/>
      <c r="C25" s="74"/>
      <c r="D25" s="75"/>
    </row>
    <row r="26">
      <c r="A26" s="68" t="s">
        <v>97</v>
      </c>
      <c r="B26" s="5"/>
      <c r="C26" s="5"/>
      <c r="D26" s="69"/>
    </row>
    <row r="27">
      <c r="A27" s="68" t="s">
        <v>98</v>
      </c>
      <c r="B27" s="5"/>
      <c r="C27" s="5"/>
      <c r="D27" s="69"/>
    </row>
    <row r="28">
      <c r="A28" s="68" t="s">
        <v>99</v>
      </c>
      <c r="B28" s="5"/>
      <c r="C28" s="5"/>
      <c r="D28" s="69"/>
    </row>
    <row r="29">
      <c r="A29" s="68" t="s">
        <v>100</v>
      </c>
      <c r="B29" s="5"/>
      <c r="C29" s="5"/>
      <c r="D29" s="69"/>
    </row>
    <row r="30">
      <c r="A30" s="70" t="s">
        <v>101</v>
      </c>
      <c r="B30" s="71"/>
      <c r="C30" s="71"/>
      <c r="D30" s="72"/>
    </row>
  </sheetData>
  <mergeCells count="1">
    <mergeCell ref="A25:D2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63"/>
  </cols>
  <sheetData>
    <row r="1">
      <c r="A1" s="22"/>
      <c r="B1" s="22"/>
      <c r="C1" s="22"/>
      <c r="D1" s="22"/>
      <c r="E1" s="22"/>
      <c r="F1" s="22"/>
      <c r="G1" s="22"/>
    </row>
    <row r="2">
      <c r="A2" s="17" t="s">
        <v>13</v>
      </c>
      <c r="B2" s="1" t="s">
        <v>102</v>
      </c>
      <c r="C2" s="3" t="s">
        <v>2</v>
      </c>
      <c r="D2" s="3" t="s">
        <v>3</v>
      </c>
      <c r="E2" s="3" t="s">
        <v>4</v>
      </c>
      <c r="F2" s="3" t="s">
        <v>5</v>
      </c>
      <c r="G2" s="3" t="s">
        <v>6</v>
      </c>
    </row>
    <row r="3">
      <c r="A3" s="25" t="s">
        <v>7</v>
      </c>
      <c r="B3" s="5" t="s">
        <v>103</v>
      </c>
      <c r="C3" s="6">
        <v>14909.0</v>
      </c>
      <c r="D3" s="6">
        <v>0.0</v>
      </c>
      <c r="E3" s="76">
        <v>16000.0</v>
      </c>
      <c r="F3" s="7">
        <f t="shared" ref="F3:F4" si="1">(D3-C3) / (E3-C3)</f>
        <v>-13.66544455</v>
      </c>
      <c r="G3" s="27">
        <v>46113.0</v>
      </c>
    </row>
    <row r="4">
      <c r="A4" s="25" t="s">
        <v>9</v>
      </c>
      <c r="B4" s="5" t="s">
        <v>104</v>
      </c>
      <c r="C4" s="6">
        <v>1.4154E7</v>
      </c>
      <c r="D4" s="19">
        <v>0.0</v>
      </c>
      <c r="E4" s="76">
        <v>1.6E7</v>
      </c>
      <c r="F4" s="7">
        <f t="shared" si="1"/>
        <v>-7.667388949</v>
      </c>
      <c r="G4" s="27">
        <v>46113.0</v>
      </c>
    </row>
    <row r="5">
      <c r="A5" s="5" t="s">
        <v>11</v>
      </c>
      <c r="B5" s="5" t="s">
        <v>105</v>
      </c>
      <c r="C5" s="5"/>
      <c r="D5" s="5"/>
      <c r="E5" s="5"/>
      <c r="F5" s="5"/>
      <c r="G5" s="5"/>
    </row>
    <row r="7">
      <c r="A7" s="62" t="s">
        <v>106</v>
      </c>
    </row>
    <row r="8">
      <c r="A8" s="62" t="s">
        <v>107</v>
      </c>
      <c r="B8" s="62" t="s">
        <v>108</v>
      </c>
    </row>
    <row r="9">
      <c r="A9" s="62" t="s">
        <v>107</v>
      </c>
      <c r="B9" s="62" t="s">
        <v>109</v>
      </c>
    </row>
    <row r="10">
      <c r="A10" s="62" t="s">
        <v>107</v>
      </c>
      <c r="B10" s="62" t="s">
        <v>110</v>
      </c>
    </row>
    <row r="12">
      <c r="A12" s="62" t="s">
        <v>111</v>
      </c>
      <c r="B12" s="62" t="s">
        <v>112</v>
      </c>
    </row>
    <row r="13">
      <c r="A13" s="62" t="s">
        <v>111</v>
      </c>
      <c r="B13" s="62" t="s">
        <v>113</v>
      </c>
    </row>
    <row r="15">
      <c r="A15" s="62" t="s">
        <v>114</v>
      </c>
      <c r="B15" s="62" t="s">
        <v>115</v>
      </c>
    </row>
    <row r="16">
      <c r="A16" s="62" t="s">
        <v>114</v>
      </c>
      <c r="B16" s="62" t="s">
        <v>116</v>
      </c>
    </row>
    <row r="22">
      <c r="B22" s="62" t="s">
        <v>117</v>
      </c>
    </row>
    <row r="23">
      <c r="B23" s="77" t="s">
        <v>118</v>
      </c>
    </row>
    <row r="24">
      <c r="B24" s="77" t="s">
        <v>119</v>
      </c>
    </row>
    <row r="25">
      <c r="B25" s="77" t="s">
        <v>120</v>
      </c>
    </row>
    <row r="26">
      <c r="B26" s="62"/>
    </row>
    <row r="27">
      <c r="B27" s="62" t="s">
        <v>121</v>
      </c>
    </row>
    <row r="28">
      <c r="B28" s="77" t="s">
        <v>122</v>
      </c>
    </row>
    <row r="29">
      <c r="B29" s="77" t="s">
        <v>123</v>
      </c>
    </row>
    <row r="31">
      <c r="B31" s="62" t="s">
        <v>124</v>
      </c>
    </row>
    <row r="32">
      <c r="B32" s="77" t="s">
        <v>125</v>
      </c>
    </row>
    <row r="33">
      <c r="B33" s="77" t="s">
        <v>126</v>
      </c>
    </row>
    <row r="34">
      <c r="B34" s="77" t="s">
        <v>127</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13"/>
  </cols>
  <sheetData>
    <row r="1">
      <c r="A1" s="17" t="s">
        <v>13</v>
      </c>
      <c r="B1" s="1" t="s">
        <v>128</v>
      </c>
      <c r="C1" s="3" t="s">
        <v>2</v>
      </c>
      <c r="D1" s="3" t="s">
        <v>3</v>
      </c>
      <c r="E1" s="3" t="s">
        <v>4</v>
      </c>
      <c r="F1" s="3" t="s">
        <v>5</v>
      </c>
      <c r="G1" s="3" t="s">
        <v>6</v>
      </c>
      <c r="H1" s="22"/>
      <c r="I1" s="22"/>
      <c r="J1" s="22"/>
      <c r="K1" s="22"/>
      <c r="L1" s="22"/>
      <c r="M1" s="22"/>
      <c r="N1" s="22"/>
      <c r="O1" s="22"/>
      <c r="P1" s="22"/>
      <c r="Q1" s="22"/>
      <c r="R1" s="22"/>
      <c r="S1" s="22"/>
      <c r="T1" s="22"/>
      <c r="U1" s="22"/>
      <c r="V1" s="22"/>
      <c r="W1" s="22"/>
      <c r="X1" s="22"/>
      <c r="Y1" s="22"/>
      <c r="Z1" s="22"/>
    </row>
    <row r="2">
      <c r="A2" s="78" t="s">
        <v>7</v>
      </c>
      <c r="B2" s="5" t="s">
        <v>129</v>
      </c>
      <c r="C2" s="6">
        <v>12.0</v>
      </c>
      <c r="D2" s="6">
        <v>12.0</v>
      </c>
      <c r="E2" s="6">
        <v>10.0</v>
      </c>
      <c r="F2" s="7">
        <f>(D2-C2) / (E2-C2)</f>
        <v>0</v>
      </c>
      <c r="G2" s="79">
        <v>46128.0</v>
      </c>
      <c r="H2" s="22"/>
      <c r="I2" s="22"/>
      <c r="J2" s="22"/>
      <c r="K2" s="22"/>
      <c r="L2" s="22"/>
      <c r="M2" s="22"/>
      <c r="N2" s="22"/>
      <c r="O2" s="22"/>
      <c r="P2" s="22"/>
      <c r="Q2" s="22"/>
      <c r="R2" s="22"/>
      <c r="S2" s="22"/>
      <c r="T2" s="22"/>
      <c r="U2" s="22"/>
      <c r="V2" s="22"/>
      <c r="W2" s="22"/>
      <c r="X2" s="22"/>
      <c r="Y2" s="22"/>
      <c r="Z2" s="22"/>
    </row>
    <row r="3">
      <c r="A3" s="80"/>
      <c r="B3" s="63" t="s">
        <v>130</v>
      </c>
      <c r="C3" s="63"/>
      <c r="D3" s="22"/>
      <c r="E3" s="22"/>
      <c r="F3" s="22"/>
      <c r="G3" s="22"/>
      <c r="H3" s="22"/>
      <c r="I3" s="22"/>
      <c r="J3" s="22"/>
      <c r="K3" s="22"/>
      <c r="L3" s="22"/>
      <c r="M3" s="22"/>
      <c r="N3" s="22"/>
      <c r="O3" s="22"/>
      <c r="P3" s="22"/>
      <c r="Q3" s="22"/>
      <c r="R3" s="22"/>
      <c r="S3" s="22"/>
      <c r="T3" s="22"/>
      <c r="U3" s="22"/>
      <c r="V3" s="22"/>
      <c r="W3" s="22"/>
      <c r="X3" s="22"/>
      <c r="Y3" s="22"/>
      <c r="Z3" s="22"/>
    </row>
    <row r="4">
      <c r="A4" s="80"/>
      <c r="B4" s="63"/>
      <c r="C4" s="63"/>
      <c r="D4" s="22"/>
      <c r="E4" s="22"/>
      <c r="F4" s="22"/>
      <c r="G4" s="22"/>
      <c r="H4" s="22"/>
      <c r="I4" s="22"/>
      <c r="J4" s="22"/>
      <c r="K4" s="22"/>
      <c r="L4" s="22"/>
      <c r="M4" s="22"/>
      <c r="N4" s="22"/>
      <c r="O4" s="22"/>
      <c r="P4" s="22"/>
      <c r="Q4" s="22"/>
      <c r="R4" s="22"/>
      <c r="S4" s="22"/>
      <c r="T4" s="22"/>
      <c r="U4" s="22"/>
      <c r="V4" s="22"/>
      <c r="W4" s="22"/>
      <c r="X4" s="22"/>
      <c r="Y4" s="22"/>
      <c r="Z4" s="22"/>
    </row>
    <row r="5">
      <c r="A5" s="80"/>
      <c r="B5" s="63"/>
      <c r="C5" s="63"/>
      <c r="D5" s="22"/>
      <c r="E5" s="22"/>
      <c r="F5" s="22"/>
      <c r="G5" s="22"/>
      <c r="H5" s="22"/>
      <c r="I5" s="22"/>
      <c r="J5" s="22"/>
      <c r="K5" s="22"/>
      <c r="L5" s="22"/>
      <c r="M5" s="22"/>
      <c r="N5" s="22"/>
      <c r="O5" s="22"/>
      <c r="P5" s="22"/>
      <c r="Q5" s="22"/>
      <c r="R5" s="22"/>
      <c r="S5" s="22"/>
      <c r="T5" s="22"/>
      <c r="U5" s="22"/>
      <c r="V5" s="22"/>
      <c r="W5" s="22"/>
      <c r="X5" s="22"/>
      <c r="Y5" s="22"/>
      <c r="Z5" s="22"/>
    </row>
    <row r="6">
      <c r="A6" s="80" t="s">
        <v>131</v>
      </c>
      <c r="B6" s="81" t="s">
        <v>132</v>
      </c>
      <c r="C6" s="63"/>
      <c r="D6" s="22"/>
      <c r="E6" s="22"/>
      <c r="F6" s="22"/>
      <c r="G6" s="22"/>
      <c r="H6" s="22"/>
      <c r="I6" s="22"/>
      <c r="J6" s="22"/>
      <c r="K6" s="22"/>
      <c r="L6" s="22"/>
      <c r="M6" s="22"/>
      <c r="N6" s="22"/>
      <c r="O6" s="22"/>
      <c r="P6" s="22"/>
      <c r="Q6" s="22"/>
      <c r="R6" s="22"/>
      <c r="S6" s="22"/>
      <c r="T6" s="22"/>
      <c r="U6" s="22"/>
      <c r="V6" s="22"/>
      <c r="W6" s="22"/>
      <c r="X6" s="22"/>
      <c r="Y6" s="22"/>
      <c r="Z6" s="22"/>
    </row>
    <row r="7">
      <c r="A7" s="22"/>
      <c r="B7" s="81" t="s">
        <v>133</v>
      </c>
      <c r="C7" s="63"/>
      <c r="D7" s="22"/>
      <c r="E7" s="22"/>
      <c r="F7" s="22"/>
      <c r="G7" s="22"/>
      <c r="H7" s="22"/>
      <c r="I7" s="22"/>
      <c r="J7" s="22"/>
      <c r="K7" s="22"/>
      <c r="L7" s="22"/>
      <c r="M7" s="22"/>
      <c r="N7" s="22"/>
      <c r="O7" s="22"/>
      <c r="P7" s="22"/>
      <c r="Q7" s="22"/>
      <c r="R7" s="22"/>
      <c r="S7" s="22"/>
      <c r="T7" s="22"/>
      <c r="U7" s="22"/>
      <c r="V7" s="22"/>
      <c r="W7" s="22"/>
      <c r="X7" s="22"/>
      <c r="Y7" s="22"/>
      <c r="Z7" s="22"/>
    </row>
    <row r="8">
      <c r="A8" s="22"/>
      <c r="B8" s="81" t="s">
        <v>134</v>
      </c>
      <c r="C8" s="22"/>
      <c r="D8" s="22"/>
      <c r="E8" s="22"/>
      <c r="F8" s="22"/>
      <c r="G8" s="22"/>
      <c r="H8" s="22"/>
      <c r="I8" s="22"/>
      <c r="J8" s="22"/>
      <c r="K8" s="22"/>
      <c r="L8" s="22"/>
      <c r="M8" s="22"/>
      <c r="N8" s="22"/>
      <c r="O8" s="22"/>
      <c r="P8" s="22"/>
      <c r="Q8" s="22"/>
      <c r="R8" s="22"/>
      <c r="S8" s="22"/>
      <c r="T8" s="22"/>
      <c r="U8" s="22"/>
      <c r="V8" s="22"/>
      <c r="W8" s="22"/>
      <c r="X8" s="22"/>
      <c r="Y8" s="22"/>
      <c r="Z8" s="22"/>
    </row>
    <row r="9">
      <c r="A9" s="22"/>
      <c r="B9" s="81" t="s">
        <v>135</v>
      </c>
      <c r="C9" s="22"/>
      <c r="D9" s="22"/>
      <c r="E9" s="22"/>
      <c r="F9" s="22"/>
      <c r="G9" s="22"/>
      <c r="H9" s="22"/>
      <c r="I9" s="22"/>
      <c r="J9" s="22"/>
      <c r="K9" s="22"/>
      <c r="L9" s="22"/>
      <c r="M9" s="22"/>
      <c r="N9" s="22"/>
      <c r="O9" s="22"/>
      <c r="P9" s="22"/>
      <c r="Q9" s="22"/>
      <c r="R9" s="22"/>
      <c r="S9" s="22"/>
      <c r="T9" s="22"/>
      <c r="U9" s="22"/>
      <c r="V9" s="22"/>
      <c r="W9" s="22"/>
      <c r="X9" s="22"/>
      <c r="Y9" s="22"/>
      <c r="Z9" s="22"/>
    </row>
    <row r="10">
      <c r="A10" s="22"/>
      <c r="B10" s="81" t="s">
        <v>136</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81" t="s">
        <v>137</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81" t="s">
        <v>138</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81" t="s">
        <v>139</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63" t="s">
        <v>140</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63" t="s">
        <v>141</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63"/>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63"/>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17" t="s">
        <v>13</v>
      </c>
      <c r="B18" s="1" t="s">
        <v>14</v>
      </c>
      <c r="C18" s="3" t="s">
        <v>2</v>
      </c>
      <c r="D18" s="3" t="s">
        <v>3</v>
      </c>
      <c r="E18" s="3" t="s">
        <v>4</v>
      </c>
      <c r="F18" s="3" t="s">
        <v>5</v>
      </c>
      <c r="G18" s="3" t="s">
        <v>6</v>
      </c>
    </row>
    <row r="19">
      <c r="A19" s="78" t="s">
        <v>7</v>
      </c>
      <c r="B19" s="5" t="s">
        <v>142</v>
      </c>
      <c r="C19" s="6">
        <v>3000.0</v>
      </c>
      <c r="D19" s="6">
        <v>3000.0</v>
      </c>
      <c r="E19" s="6">
        <v>1000000.0</v>
      </c>
      <c r="F19" s="7">
        <f t="shared" ref="F19:F20" si="1">(D19-C19) / (E19-C19)</f>
        <v>0</v>
      </c>
      <c r="G19" s="79">
        <v>46128.0</v>
      </c>
    </row>
    <row r="20">
      <c r="A20" s="5" t="s">
        <v>9</v>
      </c>
      <c r="B20" s="5" t="s">
        <v>143</v>
      </c>
      <c r="C20" s="6">
        <v>32.5</v>
      </c>
      <c r="D20" s="6">
        <v>32.5</v>
      </c>
      <c r="E20" s="6">
        <v>35.0</v>
      </c>
      <c r="F20" s="7">
        <f t="shared" si="1"/>
        <v>0</v>
      </c>
      <c r="G20" s="79">
        <v>46128.0</v>
      </c>
    </row>
    <row r="23">
      <c r="A23" s="80" t="s">
        <v>131</v>
      </c>
      <c r="B23" s="62" t="s">
        <v>144</v>
      </c>
    </row>
    <row r="24">
      <c r="B24" s="62" t="s">
        <v>145</v>
      </c>
    </row>
    <row r="25">
      <c r="B25" s="62"/>
    </row>
    <row r="26">
      <c r="B26" s="62" t="s">
        <v>146</v>
      </c>
    </row>
    <row r="27">
      <c r="B27" s="62" t="s">
        <v>147</v>
      </c>
    </row>
    <row r="28">
      <c r="B28" s="62" t="s">
        <v>148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5"/>
  </cols>
  <sheetData>
    <row r="1">
      <c r="A1" s="17" t="s">
        <v>13</v>
      </c>
      <c r="B1" s="1" t="s">
        <v>16</v>
      </c>
      <c r="C1" s="3" t="s">
        <v>2</v>
      </c>
      <c r="D1" s="3" t="s">
        <v>3</v>
      </c>
      <c r="E1" s="3" t="s">
        <v>4</v>
      </c>
      <c r="F1" s="3" t="s">
        <v>5</v>
      </c>
      <c r="G1" s="3" t="s">
        <v>6</v>
      </c>
    </row>
    <row r="2">
      <c r="A2" s="5" t="s">
        <v>7</v>
      </c>
      <c r="B2" s="5" t="s">
        <v>149</v>
      </c>
      <c r="C2" s="19">
        <v>0.0</v>
      </c>
      <c r="D2" s="19">
        <v>0.0</v>
      </c>
      <c r="E2" s="19">
        <v>2.5E7</v>
      </c>
      <c r="F2" s="7">
        <f t="shared" ref="F2:F5" si="1">(D2-C2) / (E2-C2)</f>
        <v>0</v>
      </c>
      <c r="G2" s="27">
        <v>46108.0</v>
      </c>
    </row>
    <row r="3">
      <c r="A3" s="78" t="s">
        <v>9</v>
      </c>
      <c r="B3" s="5" t="s">
        <v>150</v>
      </c>
      <c r="C3" s="19">
        <v>0.0</v>
      </c>
      <c r="D3" s="19">
        <v>0.0</v>
      </c>
      <c r="E3" s="19">
        <v>300000.0</v>
      </c>
      <c r="F3" s="7">
        <f t="shared" si="1"/>
        <v>0</v>
      </c>
      <c r="G3" s="27">
        <v>46109.0</v>
      </c>
    </row>
    <row r="4">
      <c r="A4" s="5" t="s">
        <v>11</v>
      </c>
      <c r="B4" s="5" t="s">
        <v>151</v>
      </c>
      <c r="C4" s="6">
        <v>0.0</v>
      </c>
      <c r="D4" s="6">
        <v>0.0</v>
      </c>
      <c r="E4" s="6">
        <v>1000000.0</v>
      </c>
      <c r="F4" s="7">
        <f t="shared" si="1"/>
        <v>0</v>
      </c>
      <c r="G4" s="8">
        <v>46109.0</v>
      </c>
    </row>
    <row r="5">
      <c r="A5" s="5" t="s">
        <v>18</v>
      </c>
      <c r="B5" s="5" t="s">
        <v>152</v>
      </c>
      <c r="C5" s="6">
        <v>0.0</v>
      </c>
      <c r="D5" s="6">
        <v>0.0</v>
      </c>
      <c r="E5" s="6">
        <v>50000.0</v>
      </c>
      <c r="F5" s="7">
        <f t="shared" si="1"/>
        <v>0</v>
      </c>
      <c r="G5" s="8">
        <v>46109.0</v>
      </c>
      <c r="H5" s="62"/>
    </row>
    <row r="6">
      <c r="A6" s="22"/>
      <c r="B6" s="22"/>
      <c r="C6" s="22"/>
      <c r="D6" s="22"/>
      <c r="E6" s="22"/>
      <c r="F6" s="22"/>
      <c r="G6" s="22"/>
    </row>
    <row r="7">
      <c r="A7" s="28" t="s">
        <v>26</v>
      </c>
      <c r="B7" s="63" t="s">
        <v>153</v>
      </c>
      <c r="C7" s="22"/>
      <c r="D7" s="22"/>
      <c r="E7" s="22"/>
      <c r="F7" s="22"/>
      <c r="G7" s="22"/>
    </row>
    <row r="8">
      <c r="A8" s="22"/>
      <c r="B8" s="63" t="s">
        <v>154</v>
      </c>
      <c r="C8" s="22"/>
      <c r="D8" s="22"/>
      <c r="E8" s="22"/>
      <c r="F8" s="22"/>
      <c r="G8" s="22"/>
    </row>
    <row r="9">
      <c r="A9" s="22"/>
      <c r="B9" s="62" t="s">
        <v>155</v>
      </c>
      <c r="C9" s="22"/>
      <c r="D9" s="22"/>
      <c r="E9" s="22"/>
      <c r="F9" s="22"/>
      <c r="G9" s="22"/>
    </row>
    <row r="10">
      <c r="B10" s="62" t="s">
        <v>156</v>
      </c>
    </row>
    <row r="11">
      <c r="B11" s="62" t="s">
        <v>157</v>
      </c>
    </row>
    <row r="12">
      <c r="B12" s="62" t="s">
        <v>158</v>
      </c>
    </row>
    <row r="13">
      <c r="A13" s="82"/>
      <c r="B13" s="83"/>
      <c r="C13" s="84"/>
      <c r="D13" s="84"/>
      <c r="E13" s="84"/>
      <c r="F13" s="84"/>
      <c r="G13" s="84"/>
    </row>
    <row r="14">
      <c r="A14" s="17" t="s">
        <v>13</v>
      </c>
      <c r="B14" s="1" t="s">
        <v>8</v>
      </c>
      <c r="C14" s="3" t="s">
        <v>2</v>
      </c>
      <c r="D14" s="3" t="s">
        <v>3</v>
      </c>
      <c r="E14" s="3" t="s">
        <v>4</v>
      </c>
      <c r="F14" s="3" t="s">
        <v>5</v>
      </c>
      <c r="G14" s="3" t="s">
        <v>6</v>
      </c>
    </row>
    <row r="15">
      <c r="A15" s="25" t="s">
        <v>7</v>
      </c>
      <c r="B15" s="5" t="s">
        <v>159</v>
      </c>
      <c r="C15" s="6">
        <v>61668.0</v>
      </c>
      <c r="D15" s="6">
        <v>69287.0</v>
      </c>
      <c r="E15" s="6">
        <v>72000.0</v>
      </c>
      <c r="F15" s="7">
        <f>(D15-C15) / (E15-C15)</f>
        <v>0.7374177313</v>
      </c>
      <c r="G15" s="8">
        <v>46108.0</v>
      </c>
    </row>
    <row r="16">
      <c r="A16" s="85"/>
      <c r="B16" s="85"/>
      <c r="C16" s="86"/>
      <c r="D16" s="86"/>
      <c r="E16" s="86"/>
      <c r="F16" s="87"/>
      <c r="G16" s="88"/>
    </row>
    <row r="17">
      <c r="A17" s="28" t="s">
        <v>26</v>
      </c>
      <c r="B17" s="63" t="s">
        <v>160</v>
      </c>
      <c r="C17" s="22"/>
      <c r="D17" s="22"/>
      <c r="E17" s="22"/>
      <c r="F17" s="22"/>
      <c r="G17" s="22"/>
    </row>
    <row r="18">
      <c r="A18" s="22"/>
      <c r="B18" s="62" t="s">
        <v>161</v>
      </c>
      <c r="C18" s="22"/>
      <c r="D18" s="22"/>
      <c r="E18" s="22"/>
      <c r="F18" s="22"/>
      <c r="G18" s="22"/>
    </row>
    <row r="19">
      <c r="A19" s="22"/>
      <c r="B19" s="62" t="s">
        <v>162</v>
      </c>
      <c r="C19" s="22"/>
      <c r="D19" s="22"/>
      <c r="E19" s="22"/>
      <c r="F19" s="22"/>
      <c r="G19" s="22"/>
    </row>
    <row r="21">
      <c r="A21" s="62" t="s">
        <v>163</v>
      </c>
    </row>
    <row r="22">
      <c r="A22" s="62" t="s">
        <v>164</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9.38"/>
    <col customWidth="1" min="5" max="5" width="22.5"/>
  </cols>
  <sheetData>
    <row r="1">
      <c r="A1" s="17" t="s">
        <v>13</v>
      </c>
      <c r="B1" s="1" t="s">
        <v>165</v>
      </c>
      <c r="C1" s="3" t="s">
        <v>2</v>
      </c>
      <c r="D1" s="3" t="s">
        <v>3</v>
      </c>
      <c r="E1" s="57" t="s">
        <v>166</v>
      </c>
      <c r="F1" s="3" t="s">
        <v>5</v>
      </c>
      <c r="G1" s="3" t="s">
        <v>6</v>
      </c>
    </row>
    <row r="2">
      <c r="A2" s="89" t="s">
        <v>7</v>
      </c>
      <c r="B2" s="89" t="s">
        <v>167</v>
      </c>
      <c r="C2" s="19"/>
      <c r="D2" s="19"/>
      <c r="E2" s="51">
        <v>2000.0</v>
      </c>
      <c r="F2" s="7"/>
      <c r="G2" s="8"/>
    </row>
    <row r="3">
      <c r="A3" s="89" t="s">
        <v>9</v>
      </c>
      <c r="B3" s="89" t="s">
        <v>168</v>
      </c>
      <c r="C3" s="19"/>
      <c r="D3" s="19"/>
      <c r="E3" s="51">
        <v>100.0</v>
      </c>
      <c r="F3" s="7"/>
      <c r="G3" s="8"/>
    </row>
    <row r="4">
      <c r="B4" s="90"/>
    </row>
    <row r="5">
      <c r="A5" s="28" t="s">
        <v>26</v>
      </c>
      <c r="B5" s="62" t="s">
        <v>169</v>
      </c>
    </row>
    <row r="6">
      <c r="B6" s="62" t="s">
        <v>170</v>
      </c>
    </row>
    <row r="7">
      <c r="B7" s="62" t="s">
        <v>171</v>
      </c>
    </row>
    <row r="8">
      <c r="B8" s="90"/>
    </row>
    <row r="9">
      <c r="A9" s="17" t="s">
        <v>13</v>
      </c>
      <c r="B9" s="1" t="s">
        <v>172</v>
      </c>
      <c r="C9" s="3" t="s">
        <v>2</v>
      </c>
      <c r="D9" s="3" t="s">
        <v>3</v>
      </c>
      <c r="E9" s="57" t="s">
        <v>166</v>
      </c>
      <c r="F9" s="3" t="s">
        <v>5</v>
      </c>
      <c r="G9" s="3" t="s">
        <v>6</v>
      </c>
    </row>
    <row r="10">
      <c r="A10" s="89" t="s">
        <v>7</v>
      </c>
      <c r="B10" s="89" t="s">
        <v>173</v>
      </c>
      <c r="C10" s="19">
        <v>0.0</v>
      </c>
      <c r="D10" s="19">
        <v>0.0</v>
      </c>
      <c r="E10" s="51">
        <v>1000.0</v>
      </c>
      <c r="F10" s="7">
        <f>(D10-C10) / (E10-C10)</f>
        <v>0</v>
      </c>
      <c r="G10" s="8">
        <v>46122.0</v>
      </c>
    </row>
    <row r="11">
      <c r="A11" s="89" t="s">
        <v>9</v>
      </c>
      <c r="B11" s="89" t="s">
        <v>174</v>
      </c>
      <c r="C11" s="19"/>
      <c r="D11" s="19"/>
      <c r="E11" s="51">
        <v>60.0</v>
      </c>
      <c r="F11" s="7"/>
      <c r="G11" s="8"/>
    </row>
    <row r="12">
      <c r="B12" s="90"/>
    </row>
    <row r="13">
      <c r="A13" s="28" t="s">
        <v>26</v>
      </c>
      <c r="B13" s="62" t="s">
        <v>175</v>
      </c>
    </row>
    <row r="14">
      <c r="B14" s="62" t="s">
        <v>176</v>
      </c>
    </row>
    <row r="15">
      <c r="B15" s="62" t="s">
        <v>177</v>
      </c>
    </row>
    <row r="16">
      <c r="B16" s="90"/>
    </row>
    <row r="17">
      <c r="A17" s="17" t="s">
        <v>13</v>
      </c>
      <c r="B17" s="1" t="s">
        <v>178</v>
      </c>
      <c r="C17" s="3" t="s">
        <v>2</v>
      </c>
      <c r="D17" s="3" t="s">
        <v>3</v>
      </c>
      <c r="E17" s="57" t="s">
        <v>179</v>
      </c>
      <c r="F17" s="3" t="s">
        <v>5</v>
      </c>
      <c r="G17" s="3" t="s">
        <v>6</v>
      </c>
    </row>
    <row r="18">
      <c r="A18" s="25" t="s">
        <v>7</v>
      </c>
      <c r="B18" s="5" t="s">
        <v>180</v>
      </c>
      <c r="C18" s="6">
        <v>194.0</v>
      </c>
      <c r="D18" s="6">
        <v>351.0</v>
      </c>
      <c r="E18" s="51">
        <v>10000.0</v>
      </c>
      <c r="F18" s="7">
        <f t="shared" ref="F18:F20" si="1">(D18-C18) / (E18-C18)</f>
        <v>0.01601060575</v>
      </c>
      <c r="G18" s="8">
        <v>46122.0</v>
      </c>
    </row>
    <row r="19">
      <c r="A19" s="5" t="s">
        <v>9</v>
      </c>
      <c r="B19" s="5" t="s">
        <v>181</v>
      </c>
      <c r="C19" s="6">
        <v>0.0</v>
      </c>
      <c r="D19" s="6">
        <v>6.0</v>
      </c>
      <c r="E19" s="51">
        <v>20.0</v>
      </c>
      <c r="F19" s="7">
        <f t="shared" si="1"/>
        <v>0.3</v>
      </c>
      <c r="G19" s="8">
        <v>46122.0</v>
      </c>
    </row>
    <row r="20" ht="16.5" customHeight="1">
      <c r="A20" s="5" t="s">
        <v>11</v>
      </c>
      <c r="B20" s="5" t="s">
        <v>182</v>
      </c>
      <c r="C20" s="6">
        <v>0.0</v>
      </c>
      <c r="D20" s="6">
        <v>0.0</v>
      </c>
      <c r="E20" s="51">
        <v>1000.0</v>
      </c>
      <c r="F20" s="7">
        <f t="shared" si="1"/>
        <v>0</v>
      </c>
      <c r="G20" s="8">
        <v>46122.0</v>
      </c>
    </row>
    <row r="21" ht="16.5" customHeight="1">
      <c r="B21" s="90"/>
    </row>
    <row r="22">
      <c r="A22" s="22"/>
      <c r="B22" s="91" t="s">
        <v>183</v>
      </c>
      <c r="C22" s="22"/>
      <c r="D22" s="22"/>
      <c r="E22" s="22"/>
      <c r="F22" s="22"/>
      <c r="G22" s="22"/>
    </row>
    <row r="23">
      <c r="A23" s="28"/>
      <c r="B23" s="63"/>
      <c r="C23" s="22"/>
      <c r="D23" s="22"/>
      <c r="E23" s="22"/>
      <c r="F23" s="22"/>
      <c r="G23" s="22"/>
    </row>
    <row r="24">
      <c r="A24" s="28" t="s">
        <v>26</v>
      </c>
      <c r="B24" s="63" t="s">
        <v>184</v>
      </c>
      <c r="C24" s="22"/>
      <c r="D24" s="22"/>
      <c r="E24" s="22"/>
      <c r="F24" s="22"/>
      <c r="G24" s="22"/>
    </row>
    <row r="25">
      <c r="A25" s="22"/>
      <c r="B25" s="63" t="s">
        <v>185</v>
      </c>
      <c r="C25" s="22"/>
      <c r="D25" s="22"/>
      <c r="E25" s="22"/>
      <c r="F25" s="22"/>
      <c r="G25" s="22"/>
    </row>
    <row r="26">
      <c r="B26" s="62" t="s">
        <v>186</v>
      </c>
    </row>
    <row r="28">
      <c r="A28" s="17" t="s">
        <v>13</v>
      </c>
      <c r="B28" s="92" t="s">
        <v>187</v>
      </c>
      <c r="C28" s="3" t="s">
        <v>2</v>
      </c>
      <c r="D28" s="3" t="s">
        <v>3</v>
      </c>
      <c r="E28" s="57" t="s">
        <v>179</v>
      </c>
      <c r="F28" s="3" t="s">
        <v>5</v>
      </c>
      <c r="G28" s="3" t="s">
        <v>6</v>
      </c>
    </row>
    <row r="29">
      <c r="A29" s="89" t="s">
        <v>7</v>
      </c>
      <c r="B29" s="5" t="s">
        <v>188</v>
      </c>
      <c r="C29" s="19">
        <v>0.0</v>
      </c>
      <c r="D29" s="19">
        <v>0.0</v>
      </c>
      <c r="E29" s="51">
        <v>10000.0</v>
      </c>
      <c r="F29" s="7">
        <f t="shared" ref="F29:F31" si="2">(D29-C29) / (E29-C29)</f>
        <v>0</v>
      </c>
      <c r="G29" s="8">
        <v>46122.0</v>
      </c>
    </row>
    <row r="30">
      <c r="A30" s="89" t="s">
        <v>9</v>
      </c>
      <c r="B30" s="5" t="s">
        <v>189</v>
      </c>
      <c r="C30" s="19">
        <v>0.0</v>
      </c>
      <c r="D30" s="19">
        <v>0.0</v>
      </c>
      <c r="E30" s="51">
        <v>70.0</v>
      </c>
      <c r="F30" s="7">
        <f t="shared" si="2"/>
        <v>0</v>
      </c>
      <c r="G30" s="8">
        <v>46122.0</v>
      </c>
    </row>
    <row r="31">
      <c r="A31" s="89" t="s">
        <v>11</v>
      </c>
      <c r="B31" s="5" t="s">
        <v>190</v>
      </c>
      <c r="C31" s="19">
        <v>0.0</v>
      </c>
      <c r="D31" s="19">
        <v>0.0</v>
      </c>
      <c r="E31" s="51">
        <v>2500.0</v>
      </c>
      <c r="F31" s="7">
        <f t="shared" si="2"/>
        <v>0</v>
      </c>
      <c r="G31" s="8">
        <v>46122.0</v>
      </c>
    </row>
    <row r="32">
      <c r="A32" s="22"/>
      <c r="B32" s="63"/>
      <c r="C32" s="22"/>
      <c r="D32" s="22"/>
      <c r="E32" s="22"/>
      <c r="F32" s="22"/>
      <c r="G32" s="22"/>
    </row>
    <row r="33">
      <c r="A33" s="22"/>
      <c r="B33" s="93" t="s">
        <v>191</v>
      </c>
      <c r="C33" s="22"/>
      <c r="D33" s="22"/>
      <c r="E33" s="22"/>
      <c r="F33" s="22"/>
      <c r="G33" s="22"/>
    </row>
    <row r="34">
      <c r="A34" s="22"/>
      <c r="B34" s="63" t="s">
        <v>192</v>
      </c>
      <c r="C34" s="22"/>
      <c r="D34" s="22"/>
      <c r="E34" s="22"/>
      <c r="F34" s="22"/>
      <c r="G34" s="22"/>
    </row>
    <row r="35">
      <c r="A35" s="22"/>
      <c r="B35" s="22"/>
      <c r="C35" s="22"/>
      <c r="D35" s="22"/>
      <c r="E35" s="22"/>
      <c r="F35" s="22"/>
      <c r="G35" s="22"/>
    </row>
    <row r="36">
      <c r="A36" s="28" t="s">
        <v>26</v>
      </c>
      <c r="B36" s="63" t="s">
        <v>193</v>
      </c>
      <c r="C36" s="22"/>
      <c r="D36" s="22"/>
      <c r="E36" s="22"/>
      <c r="F36" s="22"/>
      <c r="G36" s="22"/>
    </row>
    <row r="37">
      <c r="A37" s="22"/>
      <c r="B37" s="63" t="s">
        <v>194</v>
      </c>
      <c r="C37" s="22"/>
      <c r="D37" s="22"/>
      <c r="E37" s="22"/>
      <c r="F37" s="22"/>
      <c r="G37" s="22"/>
    </row>
    <row r="38">
      <c r="A38" s="22"/>
      <c r="B38" s="63" t="s">
        <v>195</v>
      </c>
      <c r="C38" s="22"/>
      <c r="D38" s="22"/>
      <c r="E38" s="22"/>
      <c r="F38" s="22"/>
      <c r="G38" s="22"/>
    </row>
    <row r="39">
      <c r="A39" s="22"/>
      <c r="B39" s="22"/>
      <c r="C39" s="22"/>
      <c r="D39" s="22"/>
      <c r="E39" s="22"/>
      <c r="F39" s="22"/>
      <c r="G39" s="22"/>
    </row>
    <row r="42">
      <c r="A42" s="62"/>
      <c r="B42" s="93"/>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63"/>
    <col customWidth="1" min="8" max="8" width="57.25"/>
  </cols>
  <sheetData>
    <row r="1">
      <c r="A1" s="94" t="s">
        <v>13</v>
      </c>
      <c r="B1" s="95" t="s">
        <v>196</v>
      </c>
      <c r="C1" s="96" t="s">
        <v>2</v>
      </c>
      <c r="D1" s="96" t="s">
        <v>3</v>
      </c>
      <c r="E1" s="96" t="s">
        <v>4</v>
      </c>
      <c r="F1" s="96" t="s">
        <v>5</v>
      </c>
      <c r="G1" s="96" t="s">
        <v>6</v>
      </c>
    </row>
    <row r="2">
      <c r="A2" s="25" t="s">
        <v>7</v>
      </c>
      <c r="B2" s="5" t="s">
        <v>197</v>
      </c>
      <c r="C2" s="6">
        <f>798000-528000</f>
        <v>270000</v>
      </c>
      <c r="D2" s="6">
        <v>270000.0</v>
      </c>
      <c r="E2" s="51">
        <v>800000.0</v>
      </c>
      <c r="F2" s="7">
        <f t="shared" ref="F2:F4" si="1">(D2-C2) / (E2-C2)</f>
        <v>0</v>
      </c>
      <c r="G2" s="8">
        <v>46112.0</v>
      </c>
      <c r="H2" s="62" t="s">
        <v>198</v>
      </c>
    </row>
    <row r="3">
      <c r="A3" s="25" t="s">
        <v>9</v>
      </c>
      <c r="B3" s="5" t="s">
        <v>199</v>
      </c>
      <c r="C3" s="6">
        <v>96000.0</v>
      </c>
      <c r="D3" s="6">
        <v>96000.0</v>
      </c>
      <c r="E3" s="51">
        <v>115000.0</v>
      </c>
      <c r="F3" s="7">
        <f t="shared" si="1"/>
        <v>0</v>
      </c>
      <c r="G3" s="8">
        <v>46112.0</v>
      </c>
      <c r="H3" s="62" t="s">
        <v>200</v>
      </c>
    </row>
    <row r="4">
      <c r="A4" s="5" t="s">
        <v>11</v>
      </c>
      <c r="B4" s="5" t="s">
        <v>201</v>
      </c>
      <c r="C4" s="6">
        <v>528000.0</v>
      </c>
      <c r="D4" s="6">
        <v>528000.0</v>
      </c>
      <c r="E4" s="51">
        <v>700000.0</v>
      </c>
      <c r="F4" s="7">
        <f t="shared" si="1"/>
        <v>0</v>
      </c>
      <c r="G4" s="8">
        <v>46112.0</v>
      </c>
      <c r="H4" s="62" t="s">
        <v>202</v>
      </c>
    </row>
    <row r="5">
      <c r="A5" s="22"/>
      <c r="B5" s="63"/>
      <c r="C5" s="22"/>
      <c r="D5" s="22"/>
      <c r="E5" s="22"/>
      <c r="F5" s="22"/>
      <c r="G5" s="22"/>
    </row>
    <row r="6">
      <c r="A6" s="97" t="s">
        <v>26</v>
      </c>
      <c r="C6" s="22"/>
      <c r="D6" s="22"/>
      <c r="E6" s="22"/>
      <c r="F6" s="22"/>
      <c r="G6" s="22"/>
    </row>
    <row r="7">
      <c r="A7" s="63" t="s">
        <v>107</v>
      </c>
      <c r="B7" s="63" t="s">
        <v>203</v>
      </c>
      <c r="C7" s="22"/>
      <c r="D7" s="22"/>
      <c r="E7" s="22"/>
      <c r="F7" s="22"/>
      <c r="G7" s="22"/>
    </row>
    <row r="8">
      <c r="A8" s="62" t="s">
        <v>107</v>
      </c>
      <c r="B8" s="63" t="s">
        <v>204</v>
      </c>
      <c r="C8" s="22"/>
      <c r="D8" s="22"/>
      <c r="E8" s="22"/>
      <c r="F8" s="22"/>
      <c r="G8" s="22"/>
    </row>
    <row r="9">
      <c r="A9" s="62" t="s">
        <v>111</v>
      </c>
      <c r="B9" s="62" t="s">
        <v>205</v>
      </c>
    </row>
    <row r="10">
      <c r="A10" s="62" t="s">
        <v>114</v>
      </c>
      <c r="B10" s="62" t="s">
        <v>206</v>
      </c>
    </row>
    <row r="11">
      <c r="A11" s="62" t="s">
        <v>114</v>
      </c>
      <c r="B11" s="62" t="s">
        <v>207</v>
      </c>
    </row>
    <row r="12">
      <c r="A12" s="62" t="s">
        <v>114</v>
      </c>
      <c r="B12" s="62" t="s">
        <v>208</v>
      </c>
    </row>
    <row r="16">
      <c r="A16" s="94" t="s">
        <v>209</v>
      </c>
      <c r="B16" s="95" t="s">
        <v>210</v>
      </c>
      <c r="C16" s="96" t="s">
        <v>2</v>
      </c>
      <c r="D16" s="96" t="s">
        <v>3</v>
      </c>
      <c r="E16" s="96" t="s">
        <v>4</v>
      </c>
      <c r="F16" s="96" t="s">
        <v>5</v>
      </c>
      <c r="G16" s="96" t="s">
        <v>6</v>
      </c>
    </row>
    <row r="17">
      <c r="A17" s="25" t="s">
        <v>107</v>
      </c>
      <c r="B17" s="5" t="s">
        <v>211</v>
      </c>
      <c r="C17" s="6"/>
      <c r="D17" s="6"/>
      <c r="E17" s="51"/>
      <c r="F17" s="7"/>
      <c r="G17" s="8"/>
    </row>
    <row r="18">
      <c r="A18" s="25" t="s">
        <v>111</v>
      </c>
      <c r="B18" s="5" t="s">
        <v>212</v>
      </c>
      <c r="C18" s="6"/>
      <c r="D18" s="6"/>
      <c r="E18" s="51"/>
      <c r="F18" s="7"/>
      <c r="G18" s="8"/>
    </row>
    <row r="20">
      <c r="A20" s="62" t="s">
        <v>213</v>
      </c>
      <c r="B20" s="62" t="s">
        <v>214</v>
      </c>
    </row>
    <row r="21">
      <c r="B21" s="62" t="s">
        <v>215</v>
      </c>
    </row>
    <row r="24">
      <c r="A24" s="95" t="s">
        <v>216</v>
      </c>
      <c r="B24" s="95" t="s">
        <v>217</v>
      </c>
      <c r="C24" s="96" t="s">
        <v>2</v>
      </c>
      <c r="D24" s="96" t="s">
        <v>3</v>
      </c>
      <c r="E24" s="96" t="s">
        <v>4</v>
      </c>
      <c r="F24" s="96" t="s">
        <v>5</v>
      </c>
      <c r="G24" s="96" t="s">
        <v>6</v>
      </c>
    </row>
    <row r="25">
      <c r="A25" s="98" t="s">
        <v>107</v>
      </c>
      <c r="B25" s="62" t="s">
        <v>218</v>
      </c>
      <c r="C25" s="99">
        <v>0.469</v>
      </c>
    </row>
    <row r="26">
      <c r="A26" s="62" t="s">
        <v>111</v>
      </c>
      <c r="B26" s="62" t="s">
        <v>219</v>
      </c>
    </row>
    <row r="27">
      <c r="A27" s="62" t="s">
        <v>114</v>
      </c>
      <c r="B27" s="62" t="s">
        <v>220</v>
      </c>
    </row>
    <row r="28">
      <c r="A28" s="62"/>
      <c r="B28" s="62"/>
    </row>
    <row r="29">
      <c r="A29" s="62" t="s">
        <v>106</v>
      </c>
      <c r="B29" s="62"/>
    </row>
    <row r="30">
      <c r="A30" s="62"/>
      <c r="B30" s="62" t="s">
        <v>221</v>
      </c>
    </row>
    <row r="31">
      <c r="A31" s="62"/>
      <c r="B31" s="62"/>
    </row>
    <row r="34">
      <c r="A34" s="94" t="s">
        <v>216</v>
      </c>
      <c r="B34" s="95" t="s">
        <v>222</v>
      </c>
      <c r="C34" s="96" t="s">
        <v>2</v>
      </c>
      <c r="D34" s="96" t="s">
        <v>3</v>
      </c>
      <c r="E34" s="96" t="s">
        <v>4</v>
      </c>
      <c r="F34" s="96" t="s">
        <v>5</v>
      </c>
      <c r="G34" s="96" t="s">
        <v>6</v>
      </c>
    </row>
    <row r="35">
      <c r="A35" s="25" t="s">
        <v>107</v>
      </c>
      <c r="B35" s="5" t="s">
        <v>218</v>
      </c>
      <c r="C35" s="9">
        <v>0.469</v>
      </c>
      <c r="D35" s="6"/>
      <c r="E35" s="51"/>
      <c r="F35" s="7"/>
      <c r="G35" s="8"/>
    </row>
    <row r="36">
      <c r="A36" s="25" t="s">
        <v>111</v>
      </c>
      <c r="B36" s="5" t="s">
        <v>223</v>
      </c>
      <c r="C36" s="9">
        <v>0.8272</v>
      </c>
      <c r="D36" s="6"/>
      <c r="E36" s="51"/>
      <c r="F36" s="7"/>
      <c r="G36"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63"/>
    <col customWidth="1" min="3" max="3" width="13.38"/>
  </cols>
  <sheetData>
    <row r="1">
      <c r="A1" s="17" t="s">
        <v>13</v>
      </c>
      <c r="B1" s="1" t="s">
        <v>224</v>
      </c>
      <c r="C1" s="3" t="s">
        <v>2</v>
      </c>
      <c r="D1" s="3" t="s">
        <v>3</v>
      </c>
      <c r="E1" s="3" t="s">
        <v>4</v>
      </c>
      <c r="F1" s="3" t="s">
        <v>5</v>
      </c>
      <c r="G1" s="3" t="s">
        <v>6</v>
      </c>
    </row>
    <row r="2">
      <c r="A2" s="5" t="s">
        <v>7</v>
      </c>
      <c r="B2" s="5" t="s">
        <v>225</v>
      </c>
      <c r="C2" s="6">
        <v>12.0</v>
      </c>
      <c r="D2" s="6">
        <v>12.0</v>
      </c>
      <c r="E2" s="6">
        <v>10.0</v>
      </c>
      <c r="F2" s="7">
        <f t="shared" ref="F2:F3" si="1">(D2-C2) / (E2-C2)</f>
        <v>0</v>
      </c>
      <c r="G2" s="8">
        <v>46113.0</v>
      </c>
    </row>
    <row r="3">
      <c r="A3" s="5" t="s">
        <v>9</v>
      </c>
      <c r="B3" s="5" t="s">
        <v>226</v>
      </c>
      <c r="C3" s="6">
        <v>0.0</v>
      </c>
      <c r="D3" s="6">
        <v>28000.0</v>
      </c>
      <c r="E3" s="6">
        <v>40000.0</v>
      </c>
      <c r="F3" s="100">
        <f t="shared" si="1"/>
        <v>0.7</v>
      </c>
      <c r="G3" s="8">
        <v>46127.0</v>
      </c>
    </row>
    <row r="4">
      <c r="A4" s="5" t="s">
        <v>11</v>
      </c>
      <c r="B4" s="101" t="s">
        <v>227</v>
      </c>
      <c r="C4" s="102" t="s">
        <v>228</v>
      </c>
      <c r="D4" s="102" t="s">
        <v>228</v>
      </c>
      <c r="E4" s="102" t="s">
        <v>229</v>
      </c>
      <c r="F4" s="7" t="str">
        <f>IF(D4&gt;=E4,"OK","KO")</f>
        <v>OK</v>
      </c>
      <c r="G4" s="8">
        <v>46127.0</v>
      </c>
    </row>
    <row r="5">
      <c r="A5" s="22"/>
      <c r="B5" s="22"/>
      <c r="C5" s="22"/>
      <c r="D5" s="22"/>
      <c r="E5" s="22"/>
      <c r="F5" s="22"/>
      <c r="G5" s="22"/>
    </row>
    <row r="6">
      <c r="A6" s="28" t="s">
        <v>26</v>
      </c>
      <c r="B6" s="63" t="s">
        <v>230</v>
      </c>
      <c r="C6" s="103" t="s">
        <v>231</v>
      </c>
      <c r="D6" s="22"/>
      <c r="E6" s="22"/>
      <c r="F6" s="22"/>
      <c r="G6" s="22"/>
    </row>
    <row r="7">
      <c r="A7" s="22"/>
      <c r="B7" s="63" t="s">
        <v>232</v>
      </c>
      <c r="C7" s="103" t="s">
        <v>231</v>
      </c>
      <c r="D7" s="22"/>
      <c r="E7" s="22"/>
      <c r="F7" s="22"/>
      <c r="G7" s="22"/>
    </row>
    <row r="8">
      <c r="A8" s="22"/>
      <c r="B8" s="62" t="s">
        <v>233</v>
      </c>
      <c r="C8" s="103" t="s">
        <v>234</v>
      </c>
      <c r="D8" s="22"/>
      <c r="E8" s="22"/>
      <c r="F8" s="22"/>
      <c r="G8" s="22"/>
    </row>
    <row r="9">
      <c r="A9" s="22"/>
      <c r="B9" s="104" t="s">
        <v>235</v>
      </c>
      <c r="C9" s="103" t="s">
        <v>236</v>
      </c>
    </row>
    <row r="10">
      <c r="A10" s="22"/>
      <c r="B10" s="63" t="s">
        <v>237</v>
      </c>
      <c r="C10" s="103" t="s">
        <v>238</v>
      </c>
    </row>
    <row r="12">
      <c r="A12" s="17" t="s">
        <v>13</v>
      </c>
      <c r="B12" s="1" t="s">
        <v>239</v>
      </c>
      <c r="C12" s="3" t="s">
        <v>2</v>
      </c>
      <c r="D12" s="3" t="s">
        <v>3</v>
      </c>
      <c r="E12" s="3" t="s">
        <v>4</v>
      </c>
      <c r="F12" s="3" t="s">
        <v>5</v>
      </c>
      <c r="G12" s="3" t="s">
        <v>6</v>
      </c>
    </row>
    <row r="13">
      <c r="A13" s="25" t="s">
        <v>7</v>
      </c>
      <c r="B13" s="5" t="s">
        <v>240</v>
      </c>
      <c r="C13" s="6">
        <v>0.0</v>
      </c>
      <c r="D13" s="6">
        <v>0.0</v>
      </c>
      <c r="E13" s="6">
        <v>20000.0</v>
      </c>
      <c r="F13" s="7">
        <f t="shared" ref="F13:F14" si="2">(D13-C13) / (E13-C13)</f>
        <v>0</v>
      </c>
      <c r="G13" s="8">
        <v>46127.0</v>
      </c>
    </row>
    <row r="14">
      <c r="A14" s="25" t="s">
        <v>9</v>
      </c>
      <c r="B14" s="5" t="s">
        <v>241</v>
      </c>
      <c r="C14" s="6">
        <v>0.0</v>
      </c>
      <c r="D14" s="6">
        <v>0.0</v>
      </c>
      <c r="E14" s="6">
        <v>1000.0</v>
      </c>
      <c r="F14" s="7">
        <f t="shared" si="2"/>
        <v>0</v>
      </c>
      <c r="G14" s="8">
        <v>46127.0</v>
      </c>
    </row>
    <row r="15">
      <c r="A15" s="22"/>
      <c r="B15" s="22"/>
      <c r="C15" s="22"/>
      <c r="D15" s="22"/>
      <c r="E15" s="22"/>
      <c r="F15" s="22"/>
      <c r="G15" s="22"/>
    </row>
    <row r="16">
      <c r="A16" s="28" t="s">
        <v>26</v>
      </c>
    </row>
    <row r="17">
      <c r="B17" s="62" t="s">
        <v>242</v>
      </c>
    </row>
    <row r="18">
      <c r="B18" s="62" t="s">
        <v>243</v>
      </c>
    </row>
    <row r="19">
      <c r="B19" s="62" t="s">
        <v>244</v>
      </c>
    </row>
    <row r="21" hidden="1">
      <c r="A21" s="28" t="s">
        <v>26</v>
      </c>
      <c r="B21" s="63" t="s">
        <v>245</v>
      </c>
      <c r="C21" s="22"/>
      <c r="D21" s="22"/>
      <c r="E21" s="22"/>
      <c r="F21" s="22"/>
      <c r="G21" s="22"/>
    </row>
    <row r="22" hidden="1">
      <c r="A22" s="22"/>
      <c r="B22" s="62" t="s">
        <v>246</v>
      </c>
      <c r="C22" s="22"/>
      <c r="D22" s="22"/>
      <c r="E22" s="22"/>
      <c r="F22" s="22"/>
      <c r="G22" s="22"/>
    </row>
    <row r="23" hidden="1">
      <c r="A23" s="22"/>
      <c r="B23" s="62" t="s">
        <v>247</v>
      </c>
      <c r="C23" s="22"/>
      <c r="D23" s="22"/>
      <c r="E23" s="22"/>
      <c r="F23" s="22"/>
      <c r="G23" s="22"/>
    </row>
    <row r="24" hidden="1"/>
    <row r="25" hidden="1">
      <c r="A25" s="23" t="s">
        <v>248</v>
      </c>
    </row>
    <row r="26" hidden="1">
      <c r="A26" s="105" t="s">
        <v>249</v>
      </c>
    </row>
    <row r="27" hidden="1"/>
    <row r="28" hidden="1"/>
    <row r="29" hidden="1"/>
    <row r="30" hidden="1"/>
  </sheetData>
  <mergeCells count="3">
    <mergeCell ref="C9:G9"/>
    <mergeCell ref="C10:G10"/>
    <mergeCell ref="A26:G30"/>
  </mergeCells>
  <conditionalFormatting sqref="F4">
    <cfRule type="containsText" dxfId="0" priority="1" operator="containsText" text="OK">
      <formula>NOT(ISERROR(SEARCH(("OK"),(F4))))</formula>
    </cfRule>
  </conditionalFormatting>
  <conditionalFormatting sqref="F4">
    <cfRule type="containsText" dxfId="1" priority="2" operator="containsText" text="KO">
      <formula>NOT(ISERROR(SEARCH(("KO"),(F4))))</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0"/>
  </cols>
  <sheetData>
    <row r="1">
      <c r="A1" s="17" t="s">
        <v>13</v>
      </c>
      <c r="B1" s="1" t="s">
        <v>250</v>
      </c>
      <c r="C1" s="3" t="s">
        <v>2</v>
      </c>
      <c r="D1" s="3" t="s">
        <v>3</v>
      </c>
      <c r="E1" s="3" t="s">
        <v>4</v>
      </c>
      <c r="F1" s="3" t="s">
        <v>5</v>
      </c>
      <c r="G1" s="3" t="s">
        <v>6</v>
      </c>
    </row>
    <row r="2">
      <c r="A2" s="25" t="s">
        <v>7</v>
      </c>
      <c r="B2" s="5" t="s">
        <v>251</v>
      </c>
      <c r="C2" s="6">
        <f>137+15</f>
        <v>152</v>
      </c>
      <c r="D2" s="19">
        <f>C2</f>
        <v>152</v>
      </c>
      <c r="E2" s="76">
        <v>250.0</v>
      </c>
      <c r="F2" s="7">
        <f t="shared" ref="F2:F5" si="1">(D2-C2) / (E2-C2)</f>
        <v>0</v>
      </c>
      <c r="G2" s="27">
        <v>46023.0</v>
      </c>
    </row>
    <row r="3">
      <c r="A3" s="25" t="s">
        <v>9</v>
      </c>
      <c r="B3" s="5" t="s">
        <v>252</v>
      </c>
      <c r="C3" s="19">
        <v>0.0</v>
      </c>
      <c r="D3" s="19">
        <v>0.0</v>
      </c>
      <c r="E3" s="5">
        <v>20.0</v>
      </c>
      <c r="F3" s="7">
        <f t="shared" si="1"/>
        <v>0</v>
      </c>
      <c r="G3" s="27">
        <v>46023.0</v>
      </c>
    </row>
    <row r="4">
      <c r="A4" s="25" t="s">
        <v>11</v>
      </c>
      <c r="B4" s="5" t="s">
        <v>253</v>
      </c>
      <c r="C4" s="19">
        <v>0.0</v>
      </c>
      <c r="D4" s="19">
        <v>0.0</v>
      </c>
      <c r="E4" s="106">
        <v>0.2</v>
      </c>
      <c r="F4" s="7">
        <f t="shared" si="1"/>
        <v>0</v>
      </c>
      <c r="G4" s="27">
        <v>46023.0</v>
      </c>
    </row>
    <row r="5">
      <c r="A5" s="5" t="s">
        <v>18</v>
      </c>
      <c r="B5" s="5" t="s">
        <v>254</v>
      </c>
      <c r="C5" s="19">
        <v>0.0</v>
      </c>
      <c r="D5" s="6">
        <v>6.0</v>
      </c>
      <c r="E5" s="26">
        <v>215.0</v>
      </c>
      <c r="F5" s="7">
        <f t="shared" si="1"/>
        <v>0.02790697674</v>
      </c>
      <c r="G5" s="27">
        <v>46023.0</v>
      </c>
    </row>
    <row r="6">
      <c r="A6" s="28"/>
      <c r="B6" s="22"/>
      <c r="C6" s="22"/>
      <c r="D6" s="22"/>
      <c r="E6" s="22"/>
      <c r="F6" s="22"/>
      <c r="G6" s="22"/>
    </row>
    <row r="7">
      <c r="A7" s="28" t="s">
        <v>26</v>
      </c>
      <c r="B7" s="22"/>
      <c r="C7" s="22"/>
      <c r="D7" s="22"/>
      <c r="E7" s="22"/>
      <c r="F7" s="22"/>
      <c r="G7" s="22"/>
    </row>
    <row r="8">
      <c r="A8" s="63" t="s">
        <v>107</v>
      </c>
      <c r="B8" s="63" t="s">
        <v>255</v>
      </c>
      <c r="C8" s="63"/>
      <c r="D8" s="22"/>
      <c r="E8" s="22"/>
      <c r="F8" s="22"/>
      <c r="G8" s="22"/>
    </row>
    <row r="9">
      <c r="A9" s="63" t="s">
        <v>107</v>
      </c>
      <c r="B9" s="63" t="s">
        <v>256</v>
      </c>
      <c r="C9" s="22"/>
      <c r="D9" s="22"/>
      <c r="E9" s="22"/>
      <c r="F9" s="22"/>
      <c r="G9" s="22"/>
    </row>
    <row r="10">
      <c r="A10" s="63" t="s">
        <v>107</v>
      </c>
      <c r="B10" s="63" t="s">
        <v>257</v>
      </c>
      <c r="C10" s="22"/>
      <c r="D10" s="22"/>
      <c r="E10" s="22"/>
      <c r="F10" s="22"/>
      <c r="G10" s="22"/>
    </row>
    <row r="11">
      <c r="A11" s="63" t="s">
        <v>258</v>
      </c>
      <c r="B11" s="63" t="s">
        <v>259</v>
      </c>
      <c r="C11" s="22"/>
      <c r="D11" s="22"/>
      <c r="E11" s="22"/>
      <c r="F11" s="22"/>
      <c r="G11" s="22"/>
    </row>
    <row r="12">
      <c r="A12" s="63" t="s">
        <v>258</v>
      </c>
      <c r="B12" s="63" t="s">
        <v>260</v>
      </c>
      <c r="C12" s="22"/>
      <c r="D12" s="22"/>
      <c r="E12" s="22"/>
      <c r="F12" s="22"/>
      <c r="G12" s="22"/>
    </row>
    <row r="13">
      <c r="A13" s="63" t="s">
        <v>258</v>
      </c>
      <c r="B13" s="63" t="s">
        <v>261</v>
      </c>
      <c r="C13" s="22"/>
      <c r="D13" s="22"/>
      <c r="E13" s="22"/>
      <c r="F13" s="22"/>
      <c r="G13" s="22"/>
    </row>
    <row r="14">
      <c r="A14" s="63" t="s">
        <v>114</v>
      </c>
      <c r="B14" s="63" t="s">
        <v>262</v>
      </c>
      <c r="C14" s="22"/>
      <c r="D14" s="22"/>
      <c r="E14" s="22"/>
      <c r="F14" s="22"/>
      <c r="G14" s="22"/>
    </row>
    <row r="15">
      <c r="A15" s="62" t="s">
        <v>263</v>
      </c>
      <c r="B15" s="62" t="s">
        <v>264</v>
      </c>
    </row>
    <row r="21">
      <c r="B21" s="107"/>
    </row>
    <row r="22">
      <c r="B22" s="10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s>
  <sheetData>
    <row r="1">
      <c r="A1" s="17" t="s">
        <v>13</v>
      </c>
      <c r="B1" s="1" t="s">
        <v>265</v>
      </c>
      <c r="C1" s="3" t="s">
        <v>2</v>
      </c>
      <c r="D1" s="3" t="s">
        <v>3</v>
      </c>
      <c r="E1" s="3" t="s">
        <v>4</v>
      </c>
      <c r="F1" s="3" t="s">
        <v>5</v>
      </c>
      <c r="G1" s="3" t="s">
        <v>6</v>
      </c>
    </row>
    <row r="2">
      <c r="A2" s="25" t="s">
        <v>7</v>
      </c>
      <c r="B2" s="5" t="s">
        <v>266</v>
      </c>
      <c r="C2" s="19">
        <v>0.0</v>
      </c>
      <c r="D2" s="6">
        <v>100.0</v>
      </c>
      <c r="E2" s="108">
        <v>10000.0</v>
      </c>
      <c r="F2" s="7">
        <f t="shared" ref="F2:F3" si="1">(D2-C2) / (E2-C2)</f>
        <v>0.01</v>
      </c>
      <c r="G2" s="8">
        <v>46122.0</v>
      </c>
    </row>
    <row r="3">
      <c r="A3" s="25" t="s">
        <v>9</v>
      </c>
      <c r="B3" s="5" t="s">
        <v>267</v>
      </c>
      <c r="C3" s="19">
        <v>0.0</v>
      </c>
      <c r="D3" s="108">
        <v>21227.72</v>
      </c>
      <c r="E3" s="108">
        <v>30000.0</v>
      </c>
      <c r="F3" s="7">
        <f t="shared" si="1"/>
        <v>0.7075906667</v>
      </c>
      <c r="G3" s="8">
        <v>46122.0</v>
      </c>
    </row>
    <row r="4">
      <c r="A4" s="25"/>
      <c r="B4" s="25"/>
      <c r="C4" s="19"/>
      <c r="D4" s="19"/>
      <c r="E4" s="26"/>
      <c r="F4" s="7"/>
      <c r="G4" s="27"/>
    </row>
    <row r="5">
      <c r="A5" s="22"/>
      <c r="B5" s="22"/>
      <c r="C5" s="22"/>
      <c r="D5" s="22"/>
      <c r="E5" s="22"/>
      <c r="F5" s="22"/>
      <c r="G5" s="22"/>
    </row>
    <row r="6">
      <c r="A6" s="28" t="s">
        <v>26</v>
      </c>
      <c r="B6" s="22"/>
      <c r="C6" s="22"/>
      <c r="D6" s="22"/>
      <c r="E6" s="22"/>
      <c r="F6" s="22"/>
      <c r="G6" s="22"/>
    </row>
    <row r="7">
      <c r="A7" s="22"/>
      <c r="B7" s="63" t="s">
        <v>268</v>
      </c>
      <c r="C7" s="22"/>
      <c r="D7" s="22"/>
      <c r="E7" s="22"/>
      <c r="F7" s="22"/>
      <c r="G7" s="22"/>
    </row>
    <row r="8">
      <c r="A8" s="22"/>
      <c r="B8" s="63" t="s">
        <v>269</v>
      </c>
      <c r="C8" s="22"/>
      <c r="D8" s="22"/>
      <c r="E8" s="22"/>
      <c r="F8" s="22"/>
      <c r="G8" s="22"/>
    </row>
    <row r="9">
      <c r="A9" s="22"/>
      <c r="B9" s="63" t="s">
        <v>270</v>
      </c>
      <c r="C9" s="22"/>
      <c r="D9" s="22"/>
      <c r="E9" s="22"/>
      <c r="F9" s="22"/>
      <c r="G9" s="22"/>
    </row>
    <row r="10">
      <c r="B10" s="62" t="s">
        <v>271</v>
      </c>
    </row>
    <row r="11">
      <c r="B11" s="62" t="s">
        <v>272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5"/>
  </cols>
  <sheetData>
    <row r="1">
      <c r="A1" s="17" t="s">
        <v>273</v>
      </c>
      <c r="B1" s="17"/>
      <c r="C1" s="17"/>
      <c r="D1" s="17"/>
      <c r="E1" s="17"/>
      <c r="F1" s="17"/>
      <c r="G1" s="17"/>
    </row>
    <row r="2">
      <c r="A2" s="25" t="s">
        <v>11</v>
      </c>
      <c r="B2" s="5" t="s">
        <v>274</v>
      </c>
      <c r="C2" s="6">
        <v>35000.0</v>
      </c>
      <c r="D2" s="6">
        <v>32000.0</v>
      </c>
      <c r="E2" s="51">
        <v>50000.0</v>
      </c>
      <c r="F2" s="7">
        <f>(D2-C2) / (E2-C2)</f>
        <v>-0.2</v>
      </c>
      <c r="G2" s="8">
        <v>46112.0</v>
      </c>
    </row>
    <row r="3">
      <c r="A3" s="25" t="s">
        <v>7</v>
      </c>
      <c r="B3" s="5" t="s">
        <v>275</v>
      </c>
      <c r="C3" s="6">
        <v>1.86E7</v>
      </c>
      <c r="D3" s="6">
        <v>0.0</v>
      </c>
      <c r="E3" s="51">
        <v>3.0E7</v>
      </c>
      <c r="F3" s="7"/>
      <c r="G3" s="8">
        <v>46112.0</v>
      </c>
    </row>
    <row r="5">
      <c r="A5" s="109" t="s">
        <v>276</v>
      </c>
    </row>
    <row r="6">
      <c r="A6" s="17" t="s">
        <v>13</v>
      </c>
      <c r="B6" s="1" t="s">
        <v>277</v>
      </c>
      <c r="C6" s="3" t="s">
        <v>2</v>
      </c>
      <c r="D6" s="3" t="s">
        <v>3</v>
      </c>
      <c r="E6" s="3" t="s">
        <v>4</v>
      </c>
      <c r="F6" s="3" t="s">
        <v>5</v>
      </c>
      <c r="G6" s="3" t="s">
        <v>6</v>
      </c>
    </row>
    <row r="7">
      <c r="A7" s="5" t="s">
        <v>7</v>
      </c>
      <c r="B7" s="5" t="s">
        <v>278</v>
      </c>
      <c r="C7" s="6">
        <v>12.0</v>
      </c>
      <c r="D7" s="19">
        <f>C7</f>
        <v>12</v>
      </c>
      <c r="E7" s="51">
        <v>10.0</v>
      </c>
      <c r="F7" s="7">
        <f t="shared" ref="F7:F8" si="1">(D7-C7) / (E7-C7)</f>
        <v>0</v>
      </c>
      <c r="G7" s="8">
        <v>46112.0</v>
      </c>
    </row>
    <row r="8">
      <c r="A8" s="5" t="s">
        <v>9</v>
      </c>
      <c r="B8" s="5" t="s">
        <v>279</v>
      </c>
      <c r="C8" s="6">
        <v>51.0</v>
      </c>
      <c r="D8" s="6">
        <v>51.0</v>
      </c>
      <c r="E8" s="51">
        <v>10.0</v>
      </c>
      <c r="F8" s="7">
        <f t="shared" si="1"/>
        <v>0</v>
      </c>
      <c r="G8" s="8">
        <v>46112.0</v>
      </c>
    </row>
    <row r="9">
      <c r="A9" s="5" t="s">
        <v>11</v>
      </c>
      <c r="B9" s="5" t="s">
        <v>280</v>
      </c>
      <c r="C9" s="6">
        <v>38.0</v>
      </c>
      <c r="D9" s="6"/>
      <c r="E9" s="51">
        <v>50.0</v>
      </c>
      <c r="F9" s="7"/>
      <c r="G9" s="8"/>
    </row>
    <row r="10">
      <c r="A10" s="85"/>
      <c r="B10" s="54"/>
      <c r="C10" s="110"/>
      <c r="D10" s="110"/>
      <c r="E10" s="111"/>
      <c r="F10" s="87"/>
      <c r="G10" s="88"/>
    </row>
    <row r="11">
      <c r="B11" s="62" t="s">
        <v>281</v>
      </c>
    </row>
    <row r="12">
      <c r="B12" s="62" t="s">
        <v>282</v>
      </c>
    </row>
    <row r="13">
      <c r="B13" s="62" t="s">
        <v>283</v>
      </c>
    </row>
    <row r="14">
      <c r="B14" s="55" t="s">
        <v>284</v>
      </c>
    </row>
    <row r="15">
      <c r="B15" s="62" t="s">
        <v>285</v>
      </c>
    </row>
    <row r="16">
      <c r="A16" s="54"/>
      <c r="B16" s="62" t="s">
        <v>286</v>
      </c>
      <c r="C16" s="54"/>
      <c r="D16" s="54"/>
      <c r="E16" s="54"/>
    </row>
    <row r="17">
      <c r="A17" s="54"/>
      <c r="B17" s="85" t="s">
        <v>287</v>
      </c>
      <c r="C17" s="54"/>
      <c r="D17" s="54"/>
      <c r="E17" s="110"/>
    </row>
    <row r="18">
      <c r="A18" s="54"/>
      <c r="B18" s="85"/>
      <c r="C18" s="54"/>
      <c r="D18" s="54"/>
      <c r="E18" s="110"/>
    </row>
    <row r="19">
      <c r="A19" s="17" t="s">
        <v>13</v>
      </c>
      <c r="B19" s="1" t="s">
        <v>288</v>
      </c>
      <c r="C19" s="3" t="s">
        <v>2</v>
      </c>
      <c r="D19" s="3" t="s">
        <v>3</v>
      </c>
      <c r="E19" s="3" t="s">
        <v>4</v>
      </c>
      <c r="F19" s="3" t="s">
        <v>5</v>
      </c>
      <c r="G19" s="3" t="s">
        <v>6</v>
      </c>
    </row>
    <row r="20">
      <c r="A20" s="25" t="s">
        <v>7</v>
      </c>
      <c r="B20" s="5" t="s">
        <v>289</v>
      </c>
      <c r="C20" s="19">
        <v>0.0</v>
      </c>
      <c r="D20" s="19">
        <v>0.0</v>
      </c>
      <c r="E20" s="106">
        <v>1.0</v>
      </c>
      <c r="F20" s="7">
        <f t="shared" ref="F20:F21" si="2">(D20-C20) / (E20-C20)</f>
        <v>0</v>
      </c>
      <c r="G20" s="8">
        <v>46112.0</v>
      </c>
    </row>
    <row r="21">
      <c r="A21" s="25" t="s">
        <v>9</v>
      </c>
      <c r="B21" s="5" t="s">
        <v>290</v>
      </c>
      <c r="C21" s="6">
        <v>3000.0</v>
      </c>
      <c r="D21" s="19">
        <v>0.0</v>
      </c>
      <c r="E21" s="6">
        <v>50000.0</v>
      </c>
      <c r="F21" s="7">
        <f t="shared" si="2"/>
        <v>-0.06382978723</v>
      </c>
      <c r="G21" s="8">
        <v>46112.0</v>
      </c>
    </row>
    <row r="22">
      <c r="A22" s="22"/>
      <c r="B22" s="22"/>
      <c r="C22" s="22"/>
      <c r="D22" s="22"/>
      <c r="E22" s="22"/>
      <c r="F22" s="22"/>
      <c r="G22" s="22"/>
    </row>
    <row r="23">
      <c r="A23" s="28" t="s">
        <v>26</v>
      </c>
      <c r="B23" s="22"/>
      <c r="C23" s="22"/>
      <c r="D23" s="22"/>
      <c r="E23" s="22"/>
      <c r="F23" s="22"/>
      <c r="G23" s="22"/>
    </row>
    <row r="24">
      <c r="A24" s="22"/>
      <c r="B24" s="63" t="s">
        <v>291</v>
      </c>
      <c r="C24" s="22"/>
      <c r="D24" s="22"/>
      <c r="E24" s="22"/>
      <c r="F24" s="22"/>
      <c r="G24" s="22"/>
    </row>
    <row r="25">
      <c r="A25" s="22"/>
      <c r="B25" s="63" t="s">
        <v>292</v>
      </c>
      <c r="C25" s="22"/>
      <c r="D25" s="22"/>
      <c r="E25" s="22"/>
      <c r="F25" s="22"/>
      <c r="G25" s="22"/>
    </row>
    <row r="26">
      <c r="A26" s="22"/>
      <c r="B26" s="62" t="s">
        <v>293</v>
      </c>
      <c r="C26" s="22"/>
      <c r="D26" s="22"/>
      <c r="E26" s="22"/>
      <c r="F26" s="22"/>
      <c r="G26" s="22"/>
    </row>
    <row r="27">
      <c r="B27" s="62" t="s">
        <v>294</v>
      </c>
    </row>
    <row r="28">
      <c r="A28" s="54"/>
      <c r="B28" s="85"/>
      <c r="C28" s="54"/>
      <c r="D28" s="54"/>
      <c r="E28" s="110"/>
    </row>
    <row r="29">
      <c r="A29" s="17" t="s">
        <v>13</v>
      </c>
      <c r="B29" s="1" t="s">
        <v>295</v>
      </c>
      <c r="C29" s="3" t="s">
        <v>2</v>
      </c>
      <c r="D29" s="3" t="s">
        <v>3</v>
      </c>
      <c r="E29" s="3" t="s">
        <v>4</v>
      </c>
      <c r="F29" s="3" t="s">
        <v>5</v>
      </c>
      <c r="G29" s="3" t="s">
        <v>6</v>
      </c>
    </row>
    <row r="30">
      <c r="A30" s="25" t="s">
        <v>9</v>
      </c>
      <c r="B30" s="5" t="s">
        <v>296</v>
      </c>
      <c r="C30" s="19">
        <v>0.0</v>
      </c>
      <c r="D30" s="19">
        <v>0.0</v>
      </c>
      <c r="E30" s="108">
        <f>' 🟠🟢 Alessia'!E2+' 🟠🟢 Alessia'!E3+'🟠🟢Kevin'!E3</f>
        <v>80000</v>
      </c>
      <c r="F30" s="7">
        <f t="shared" ref="F30:F31" si="3">(D30-C30) / (E30-C30)</f>
        <v>0</v>
      </c>
      <c r="G30" s="8">
        <v>46112.0</v>
      </c>
    </row>
    <row r="31">
      <c r="A31" s="25" t="s">
        <v>9</v>
      </c>
      <c r="B31" s="5" t="s">
        <v>297</v>
      </c>
      <c r="C31" s="19">
        <v>0.0</v>
      </c>
      <c r="D31" s="19">
        <v>0.0</v>
      </c>
      <c r="E31" s="108">
        <v>30000.0</v>
      </c>
      <c r="F31" s="7">
        <f t="shared" si="3"/>
        <v>0</v>
      </c>
      <c r="G31" s="8">
        <v>46112.0</v>
      </c>
    </row>
    <row r="32">
      <c r="B32" s="63" t="s">
        <v>298</v>
      </c>
    </row>
    <row r="33">
      <c r="B33" s="63" t="s">
        <v>299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63"/>
  </cols>
  <sheetData>
    <row r="1">
      <c r="A1" s="1" t="s">
        <v>300</v>
      </c>
      <c r="B1" s="3" t="s">
        <v>2</v>
      </c>
      <c r="C1" s="3" t="s">
        <v>3</v>
      </c>
      <c r="D1" s="3" t="s">
        <v>4</v>
      </c>
      <c r="E1" s="3" t="s">
        <v>5</v>
      </c>
      <c r="F1" s="3" t="s">
        <v>6</v>
      </c>
    </row>
    <row r="2">
      <c r="A2" s="5" t="s">
        <v>301</v>
      </c>
      <c r="B2" s="6">
        <v>11.0</v>
      </c>
      <c r="C2" s="6">
        <v>9.0</v>
      </c>
      <c r="D2" s="6">
        <v>5.0</v>
      </c>
      <c r="E2" s="7">
        <f t="shared" ref="E2:E3" si="1">(C2-B2) / (D2-B2)</f>
        <v>0.3333333333</v>
      </c>
      <c r="F2" s="8">
        <v>46122.0</v>
      </c>
    </row>
    <row r="3">
      <c r="A3" s="5" t="s">
        <v>302</v>
      </c>
      <c r="B3" s="6">
        <v>60.0</v>
      </c>
      <c r="C3" s="6">
        <v>60.0</v>
      </c>
      <c r="D3" s="6">
        <v>30.0</v>
      </c>
      <c r="E3" s="7">
        <f t="shared" si="1"/>
        <v>0</v>
      </c>
      <c r="F3" s="8">
        <v>46122.0</v>
      </c>
    </row>
    <row r="4">
      <c r="A4" s="1" t="s">
        <v>303</v>
      </c>
      <c r="B4" s="3" t="s">
        <v>2</v>
      </c>
      <c r="C4" s="3" t="s">
        <v>3</v>
      </c>
      <c r="D4" s="3" t="s">
        <v>4</v>
      </c>
      <c r="E4" s="3" t="s">
        <v>5</v>
      </c>
      <c r="F4" s="3" t="s">
        <v>6</v>
      </c>
    </row>
    <row r="5">
      <c r="A5" s="5" t="s">
        <v>304</v>
      </c>
      <c r="B5" s="19">
        <v>0.0</v>
      </c>
      <c r="C5" s="6">
        <v>0.0</v>
      </c>
      <c r="D5" s="6">
        <v>60.0</v>
      </c>
      <c r="E5" s="7">
        <f t="shared" ref="E5:E6" si="2">(C5-B5) / (D5-B5)</f>
        <v>0</v>
      </c>
      <c r="F5" s="8">
        <v>46122.0</v>
      </c>
    </row>
    <row r="6">
      <c r="A6" s="5" t="s">
        <v>305</v>
      </c>
      <c r="B6" s="19">
        <v>0.0</v>
      </c>
      <c r="C6" s="6">
        <v>0.0</v>
      </c>
      <c r="D6" s="6">
        <v>20.0</v>
      </c>
      <c r="E6" s="7">
        <f t="shared" si="2"/>
        <v>0</v>
      </c>
      <c r="F6" s="8">
        <v>46122.0</v>
      </c>
    </row>
    <row r="7">
      <c r="A7" s="1" t="s">
        <v>306</v>
      </c>
      <c r="B7" s="3" t="s">
        <v>2</v>
      </c>
      <c r="C7" s="3" t="s">
        <v>3</v>
      </c>
      <c r="D7" s="3" t="s">
        <v>4</v>
      </c>
      <c r="E7" s="3" t="s">
        <v>5</v>
      </c>
      <c r="F7" s="3" t="s">
        <v>6</v>
      </c>
    </row>
    <row r="8">
      <c r="A8" s="5" t="s">
        <v>307</v>
      </c>
      <c r="B8" s="6">
        <v>1250.0</v>
      </c>
      <c r="C8" s="6">
        <v>1250.0</v>
      </c>
      <c r="D8" s="6">
        <v>1000.0</v>
      </c>
      <c r="E8" s="7">
        <f t="shared" ref="E8:E9" si="3">(C8-B8) / (D8-B8)</f>
        <v>0</v>
      </c>
      <c r="F8" s="8">
        <v>46122.0</v>
      </c>
    </row>
    <row r="9">
      <c r="A9" s="5" t="s">
        <v>308</v>
      </c>
      <c r="B9" s="19">
        <v>0.0</v>
      </c>
      <c r="C9" s="6">
        <v>0.0</v>
      </c>
      <c r="D9" s="6">
        <v>500.0</v>
      </c>
      <c r="E9" s="7">
        <f t="shared" si="3"/>
        <v>0</v>
      </c>
      <c r="F9" s="8">
        <v>46122.0</v>
      </c>
    </row>
    <row r="10">
      <c r="A10" s="28" t="s">
        <v>26</v>
      </c>
      <c r="B10" s="22"/>
      <c r="C10" s="22"/>
      <c r="D10" s="112"/>
      <c r="E10" s="22"/>
      <c r="F10" s="22"/>
    </row>
    <row r="11">
      <c r="A11" s="63" t="s">
        <v>309</v>
      </c>
      <c r="B11" s="22"/>
      <c r="C11" s="22"/>
      <c r="D11" s="112"/>
      <c r="E11" s="22"/>
      <c r="F11" s="22"/>
    </row>
    <row r="12">
      <c r="A12" s="63" t="s">
        <v>310</v>
      </c>
      <c r="B12" s="22"/>
      <c r="C12" s="22"/>
      <c r="D12" s="112"/>
      <c r="E12" s="22"/>
      <c r="F12" s="22"/>
    </row>
    <row r="13">
      <c r="A13" s="63" t="s">
        <v>311</v>
      </c>
      <c r="B13" s="22"/>
      <c r="C13" s="22"/>
      <c r="D13" s="112"/>
      <c r="E13" s="22"/>
      <c r="F13" s="22"/>
    </row>
    <row r="14">
      <c r="A14" s="62" t="s">
        <v>312</v>
      </c>
      <c r="D14" s="113"/>
    </row>
    <row r="15">
      <c r="A15" s="62" t="s">
        <v>313</v>
      </c>
      <c r="D15" s="113"/>
    </row>
    <row r="16">
      <c r="A16" s="62" t="s">
        <v>314</v>
      </c>
      <c r="D16" s="113"/>
    </row>
    <row r="17">
      <c r="A17" s="62" t="s">
        <v>315</v>
      </c>
      <c r="D17" s="113"/>
    </row>
    <row r="18">
      <c r="A18" s="62" t="s">
        <v>316</v>
      </c>
      <c r="D18" s="113"/>
    </row>
    <row r="19">
      <c r="A19" s="62" t="s">
        <v>317</v>
      </c>
      <c r="D19" s="113"/>
    </row>
    <row r="20">
      <c r="A20" s="62" t="s">
        <v>318</v>
      </c>
      <c r="D20" s="113"/>
    </row>
    <row r="21">
      <c r="A21" s="62" t="s">
        <v>319</v>
      </c>
      <c r="D21" s="113"/>
    </row>
    <row r="22">
      <c r="A22" s="62" t="s">
        <v>320</v>
      </c>
      <c r="D22" s="113"/>
    </row>
    <row r="23">
      <c r="A23" s="62" t="s">
        <v>321</v>
      </c>
      <c r="D23" s="113"/>
    </row>
    <row r="24">
      <c r="A24" s="62" t="s">
        <v>322</v>
      </c>
      <c r="D24" s="113"/>
    </row>
    <row r="25">
      <c r="A25" s="62" t="s">
        <v>323</v>
      </c>
      <c r="D25" s="113"/>
    </row>
    <row r="26">
      <c r="A26" s="62" t="s">
        <v>324</v>
      </c>
      <c r="D26" s="113"/>
    </row>
    <row r="27">
      <c r="D27" s="113"/>
    </row>
    <row r="28">
      <c r="A28" s="62" t="s">
        <v>325</v>
      </c>
      <c r="D28" s="113"/>
    </row>
    <row r="29">
      <c r="A29" s="62" t="s">
        <v>326</v>
      </c>
      <c r="D29" s="113"/>
    </row>
    <row r="30">
      <c r="A30" s="62" t="s">
        <v>327</v>
      </c>
      <c r="D30" s="113"/>
    </row>
    <row r="31">
      <c r="A31" s="62" t="s">
        <v>328</v>
      </c>
      <c r="D31" s="113"/>
    </row>
    <row r="32">
      <c r="A32" s="62" t="s">
        <v>329</v>
      </c>
      <c r="D32" s="113"/>
    </row>
    <row r="33">
      <c r="D33" s="113"/>
    </row>
    <row r="34">
      <c r="D34" s="113"/>
    </row>
    <row r="35">
      <c r="D35" s="113"/>
    </row>
    <row r="36">
      <c r="D36" s="113"/>
    </row>
    <row r="37">
      <c r="D37" s="113"/>
    </row>
    <row r="38">
      <c r="D38" s="113"/>
    </row>
    <row r="39">
      <c r="D39" s="113"/>
    </row>
    <row r="40">
      <c r="D40" s="113"/>
    </row>
    <row r="41">
      <c r="D41" s="113"/>
    </row>
    <row r="42">
      <c r="D42" s="113"/>
    </row>
    <row r="43">
      <c r="D43" s="113"/>
    </row>
    <row r="44">
      <c r="D44" s="113"/>
    </row>
    <row r="45">
      <c r="D45" s="113"/>
    </row>
    <row r="46">
      <c r="D46" s="113"/>
    </row>
    <row r="47">
      <c r="D47" s="113"/>
    </row>
    <row r="48">
      <c r="D48" s="113"/>
    </row>
    <row r="49">
      <c r="D49" s="113"/>
    </row>
    <row r="50">
      <c r="D50" s="113"/>
    </row>
    <row r="51">
      <c r="D51" s="113"/>
    </row>
    <row r="52">
      <c r="D52" s="113"/>
    </row>
    <row r="53">
      <c r="D53" s="113"/>
    </row>
    <row r="54">
      <c r="D54" s="113"/>
    </row>
    <row r="55">
      <c r="D55" s="113"/>
    </row>
    <row r="56">
      <c r="D56" s="113"/>
    </row>
    <row r="57">
      <c r="D57" s="113"/>
    </row>
    <row r="58">
      <c r="D58" s="113"/>
    </row>
    <row r="59">
      <c r="D59" s="113"/>
    </row>
    <row r="60">
      <c r="D60" s="113"/>
    </row>
    <row r="61">
      <c r="D61" s="113"/>
    </row>
    <row r="62">
      <c r="D62" s="113"/>
    </row>
    <row r="63">
      <c r="D63" s="113"/>
    </row>
    <row r="64">
      <c r="D64" s="113"/>
    </row>
    <row r="65">
      <c r="D65" s="113"/>
    </row>
    <row r="66">
      <c r="D66" s="113"/>
    </row>
    <row r="67">
      <c r="D67" s="113"/>
    </row>
    <row r="68">
      <c r="D68" s="113"/>
    </row>
    <row r="69">
      <c r="D69" s="113"/>
    </row>
    <row r="70">
      <c r="D70" s="113"/>
    </row>
    <row r="71">
      <c r="D71" s="113"/>
    </row>
    <row r="72">
      <c r="D72" s="113"/>
    </row>
    <row r="73">
      <c r="D73" s="113"/>
    </row>
    <row r="74">
      <c r="D74" s="113"/>
    </row>
    <row r="75">
      <c r="D75" s="113"/>
    </row>
    <row r="76">
      <c r="D76" s="113"/>
    </row>
    <row r="77">
      <c r="D77" s="113"/>
    </row>
    <row r="78">
      <c r="D78" s="113"/>
    </row>
    <row r="79">
      <c r="D79" s="113"/>
    </row>
    <row r="80">
      <c r="D80" s="113"/>
    </row>
    <row r="81">
      <c r="D81" s="113"/>
    </row>
    <row r="82">
      <c r="D82" s="113"/>
    </row>
    <row r="83">
      <c r="D83" s="113"/>
    </row>
    <row r="84">
      <c r="D84" s="113"/>
    </row>
    <row r="85">
      <c r="D85" s="113"/>
    </row>
    <row r="86">
      <c r="D86" s="113"/>
    </row>
    <row r="87">
      <c r="D87" s="113"/>
    </row>
    <row r="88">
      <c r="D88" s="113"/>
    </row>
    <row r="89">
      <c r="D89" s="113"/>
    </row>
    <row r="90">
      <c r="D90" s="113"/>
    </row>
    <row r="91">
      <c r="D91" s="113"/>
    </row>
    <row r="92">
      <c r="D92" s="113"/>
    </row>
    <row r="93">
      <c r="D93" s="113"/>
    </row>
    <row r="94">
      <c r="D94" s="113"/>
    </row>
    <row r="95">
      <c r="D95" s="113"/>
    </row>
    <row r="96">
      <c r="D96" s="113"/>
    </row>
    <row r="97">
      <c r="D97" s="113"/>
    </row>
    <row r="98">
      <c r="D98" s="113"/>
    </row>
    <row r="99">
      <c r="D99" s="113"/>
    </row>
    <row r="100">
      <c r="D100" s="113"/>
    </row>
    <row r="101">
      <c r="D101" s="113"/>
    </row>
    <row r="102">
      <c r="D102" s="113"/>
    </row>
    <row r="103">
      <c r="D103" s="113"/>
    </row>
    <row r="104">
      <c r="D104" s="113"/>
    </row>
    <row r="105">
      <c r="D105" s="113"/>
    </row>
    <row r="106">
      <c r="D106" s="113"/>
    </row>
    <row r="107">
      <c r="D107" s="113"/>
    </row>
    <row r="108">
      <c r="D108" s="113"/>
    </row>
    <row r="109">
      <c r="D109" s="113"/>
    </row>
    <row r="110">
      <c r="D110" s="113"/>
    </row>
    <row r="111">
      <c r="D111" s="113"/>
    </row>
    <row r="112">
      <c r="D112" s="113"/>
    </row>
    <row r="113">
      <c r="D113" s="113"/>
    </row>
    <row r="114">
      <c r="D114" s="113"/>
    </row>
    <row r="115">
      <c r="D115" s="113"/>
    </row>
    <row r="116">
      <c r="D116" s="113"/>
    </row>
    <row r="117">
      <c r="D117" s="113"/>
    </row>
    <row r="118">
      <c r="D118" s="113"/>
    </row>
    <row r="119">
      <c r="D119" s="113"/>
    </row>
    <row r="120">
      <c r="D120" s="113"/>
    </row>
    <row r="121">
      <c r="D121" s="113"/>
    </row>
    <row r="122">
      <c r="D122" s="113"/>
    </row>
    <row r="123">
      <c r="D123" s="113"/>
    </row>
    <row r="124">
      <c r="D124" s="113"/>
    </row>
    <row r="125">
      <c r="D125" s="113"/>
    </row>
    <row r="126">
      <c r="D126" s="113"/>
    </row>
    <row r="127">
      <c r="D127" s="113"/>
    </row>
    <row r="128">
      <c r="D128" s="113"/>
    </row>
    <row r="129">
      <c r="D129" s="113"/>
    </row>
    <row r="130">
      <c r="D130" s="113"/>
    </row>
    <row r="131">
      <c r="D131" s="113"/>
    </row>
    <row r="132">
      <c r="D132" s="113"/>
    </row>
    <row r="133">
      <c r="D133" s="113"/>
    </row>
    <row r="134">
      <c r="D134" s="113"/>
    </row>
    <row r="135">
      <c r="D135" s="113"/>
    </row>
    <row r="136">
      <c r="D136" s="113"/>
    </row>
    <row r="137">
      <c r="D137" s="113"/>
    </row>
    <row r="138">
      <c r="D138" s="113"/>
    </row>
    <row r="139">
      <c r="D139" s="113"/>
    </row>
    <row r="140">
      <c r="D140" s="113"/>
    </row>
    <row r="141">
      <c r="D141" s="113"/>
    </row>
    <row r="142">
      <c r="D142" s="113"/>
    </row>
    <row r="143">
      <c r="D143" s="113"/>
    </row>
    <row r="144">
      <c r="D144" s="113"/>
    </row>
    <row r="145">
      <c r="D145" s="113"/>
    </row>
    <row r="146">
      <c r="D146" s="113"/>
    </row>
    <row r="147">
      <c r="D147" s="113"/>
    </row>
    <row r="148">
      <c r="D148" s="113"/>
    </row>
    <row r="149">
      <c r="D149" s="113"/>
    </row>
    <row r="150">
      <c r="D150" s="113"/>
    </row>
    <row r="151">
      <c r="D151" s="113"/>
    </row>
    <row r="152">
      <c r="D152" s="113"/>
    </row>
    <row r="153">
      <c r="D153" s="113"/>
    </row>
    <row r="154">
      <c r="D154" s="113"/>
    </row>
    <row r="155">
      <c r="D155" s="113"/>
    </row>
    <row r="156">
      <c r="D156" s="113"/>
    </row>
    <row r="157">
      <c r="D157" s="113"/>
    </row>
    <row r="158">
      <c r="D158" s="113"/>
    </row>
    <row r="159">
      <c r="D159" s="113"/>
    </row>
    <row r="160">
      <c r="D160" s="113"/>
    </row>
    <row r="161">
      <c r="D161" s="113"/>
    </row>
    <row r="162">
      <c r="D162" s="113"/>
    </row>
    <row r="163">
      <c r="D163" s="113"/>
    </row>
    <row r="164">
      <c r="D164" s="113"/>
    </row>
    <row r="165">
      <c r="D165" s="113"/>
    </row>
    <row r="166">
      <c r="D166" s="113"/>
    </row>
    <row r="167">
      <c r="D167" s="113"/>
    </row>
    <row r="168">
      <c r="D168" s="113"/>
    </row>
    <row r="169">
      <c r="D169" s="113"/>
    </row>
    <row r="170">
      <c r="D170" s="113"/>
    </row>
    <row r="171">
      <c r="D171" s="113"/>
    </row>
    <row r="172">
      <c r="D172" s="113"/>
    </row>
    <row r="173">
      <c r="D173" s="113"/>
    </row>
    <row r="174">
      <c r="D174" s="113"/>
    </row>
    <row r="175">
      <c r="D175" s="113"/>
    </row>
    <row r="176">
      <c r="D176" s="113"/>
    </row>
    <row r="177">
      <c r="D177" s="113"/>
    </row>
    <row r="178">
      <c r="D178" s="113"/>
    </row>
    <row r="179">
      <c r="D179" s="113"/>
    </row>
    <row r="180">
      <c r="D180" s="113"/>
    </row>
    <row r="181">
      <c r="D181" s="113"/>
    </row>
    <row r="182">
      <c r="D182" s="113"/>
    </row>
    <row r="183">
      <c r="D183" s="113"/>
    </row>
    <row r="184">
      <c r="D184" s="113"/>
    </row>
    <row r="185">
      <c r="D185" s="113"/>
    </row>
    <row r="186">
      <c r="D186" s="113"/>
    </row>
    <row r="187">
      <c r="D187" s="113"/>
    </row>
    <row r="188">
      <c r="D188" s="113"/>
    </row>
    <row r="189">
      <c r="D189" s="113"/>
    </row>
    <row r="190">
      <c r="D190" s="113"/>
    </row>
    <row r="191">
      <c r="D191" s="113"/>
    </row>
    <row r="192">
      <c r="D192" s="113"/>
    </row>
    <row r="193">
      <c r="D193" s="113"/>
    </row>
    <row r="194">
      <c r="D194" s="113"/>
    </row>
    <row r="195">
      <c r="D195" s="113"/>
    </row>
    <row r="196">
      <c r="D196" s="113"/>
    </row>
    <row r="197">
      <c r="D197" s="113"/>
    </row>
    <row r="198">
      <c r="D198" s="113"/>
    </row>
    <row r="199">
      <c r="D199" s="113"/>
    </row>
    <row r="200">
      <c r="D200" s="113"/>
    </row>
    <row r="201">
      <c r="D201" s="113"/>
    </row>
    <row r="202">
      <c r="D202" s="113"/>
    </row>
    <row r="203">
      <c r="D203" s="113"/>
    </row>
    <row r="204">
      <c r="D204" s="113"/>
    </row>
    <row r="205">
      <c r="D205" s="113"/>
    </row>
    <row r="206">
      <c r="D206" s="113"/>
    </row>
    <row r="207">
      <c r="D207" s="113"/>
    </row>
    <row r="208">
      <c r="D208" s="113"/>
    </row>
    <row r="209">
      <c r="D209" s="113"/>
    </row>
    <row r="210">
      <c r="D210" s="113"/>
    </row>
    <row r="211">
      <c r="D211" s="113"/>
    </row>
    <row r="212">
      <c r="D212" s="113"/>
    </row>
    <row r="213">
      <c r="D213" s="113"/>
    </row>
    <row r="214">
      <c r="D214" s="113"/>
    </row>
    <row r="215">
      <c r="D215" s="113"/>
    </row>
    <row r="216">
      <c r="D216" s="113"/>
    </row>
    <row r="217">
      <c r="D217" s="113"/>
    </row>
    <row r="218">
      <c r="D218" s="113"/>
    </row>
    <row r="219">
      <c r="D219" s="113"/>
    </row>
    <row r="220">
      <c r="D220" s="113"/>
    </row>
    <row r="221">
      <c r="D221" s="113"/>
    </row>
    <row r="222">
      <c r="D222" s="113"/>
    </row>
    <row r="223">
      <c r="D223" s="113"/>
    </row>
    <row r="224">
      <c r="D224" s="113"/>
    </row>
    <row r="225">
      <c r="D225" s="113"/>
    </row>
    <row r="226">
      <c r="D226" s="113"/>
    </row>
    <row r="227">
      <c r="D227" s="113"/>
    </row>
    <row r="228">
      <c r="D228" s="113"/>
    </row>
    <row r="229">
      <c r="D229" s="113"/>
    </row>
    <row r="230">
      <c r="D230" s="113"/>
    </row>
    <row r="231">
      <c r="D231" s="113"/>
    </row>
    <row r="232">
      <c r="D232" s="113"/>
    </row>
    <row r="233">
      <c r="D233" s="113"/>
    </row>
    <row r="234">
      <c r="D234" s="113"/>
    </row>
    <row r="235">
      <c r="D235" s="113"/>
    </row>
    <row r="236">
      <c r="D236" s="113"/>
    </row>
    <row r="237">
      <c r="D237" s="113"/>
    </row>
    <row r="238">
      <c r="D238" s="113"/>
    </row>
    <row r="239">
      <c r="D239" s="113"/>
    </row>
    <row r="240">
      <c r="D240" s="113"/>
    </row>
    <row r="241">
      <c r="D241" s="113"/>
    </row>
    <row r="242">
      <c r="D242" s="113"/>
    </row>
    <row r="243">
      <c r="D243" s="113"/>
    </row>
    <row r="244">
      <c r="D244" s="113"/>
    </row>
    <row r="245">
      <c r="D245" s="113"/>
    </row>
    <row r="246">
      <c r="D246" s="113"/>
    </row>
    <row r="247">
      <c r="D247" s="113"/>
    </row>
    <row r="248">
      <c r="D248" s="113"/>
    </row>
    <row r="249">
      <c r="D249" s="113"/>
    </row>
    <row r="250">
      <c r="D250" s="113"/>
    </row>
    <row r="251">
      <c r="D251" s="113"/>
    </row>
    <row r="252">
      <c r="D252" s="113"/>
    </row>
    <row r="253">
      <c r="D253" s="113"/>
    </row>
    <row r="254">
      <c r="D254" s="113"/>
    </row>
    <row r="255">
      <c r="D255" s="113"/>
    </row>
    <row r="256">
      <c r="D256" s="113"/>
    </row>
    <row r="257">
      <c r="D257" s="113"/>
    </row>
    <row r="258">
      <c r="D258" s="113"/>
    </row>
    <row r="259">
      <c r="D259" s="113"/>
    </row>
    <row r="260">
      <c r="D260" s="113"/>
    </row>
    <row r="261">
      <c r="D261" s="113"/>
    </row>
    <row r="262">
      <c r="D262" s="113"/>
    </row>
    <row r="263">
      <c r="D263" s="113"/>
    </row>
    <row r="264">
      <c r="D264" s="113"/>
    </row>
    <row r="265">
      <c r="D265" s="113"/>
    </row>
    <row r="266">
      <c r="D266" s="113"/>
    </row>
    <row r="267">
      <c r="D267" s="113"/>
    </row>
    <row r="268">
      <c r="D268" s="113"/>
    </row>
    <row r="269">
      <c r="D269" s="113"/>
    </row>
    <row r="270">
      <c r="D270" s="113"/>
    </row>
    <row r="271">
      <c r="D271" s="113"/>
    </row>
    <row r="272">
      <c r="D272" s="113"/>
    </row>
    <row r="273">
      <c r="D273" s="113"/>
    </row>
    <row r="274">
      <c r="D274" s="113"/>
    </row>
    <row r="275">
      <c r="D275" s="113"/>
    </row>
    <row r="276">
      <c r="D276" s="113"/>
    </row>
    <row r="277">
      <c r="D277" s="113"/>
    </row>
    <row r="278">
      <c r="D278" s="113"/>
    </row>
    <row r="279">
      <c r="D279" s="113"/>
    </row>
    <row r="280">
      <c r="D280" s="113"/>
    </row>
    <row r="281">
      <c r="D281" s="113"/>
    </row>
    <row r="282">
      <c r="D282" s="113"/>
    </row>
    <row r="283">
      <c r="D283" s="113"/>
    </row>
    <row r="284">
      <c r="D284" s="113"/>
    </row>
    <row r="285">
      <c r="D285" s="113"/>
    </row>
    <row r="286">
      <c r="D286" s="113"/>
    </row>
    <row r="287">
      <c r="D287" s="113"/>
    </row>
    <row r="288">
      <c r="D288" s="113"/>
    </row>
    <row r="289">
      <c r="D289" s="113"/>
    </row>
    <row r="290">
      <c r="D290" s="113"/>
    </row>
    <row r="291">
      <c r="D291" s="113"/>
    </row>
    <row r="292">
      <c r="D292" s="113"/>
    </row>
    <row r="293">
      <c r="D293" s="113"/>
    </row>
    <row r="294">
      <c r="D294" s="113"/>
    </row>
    <row r="295">
      <c r="D295" s="113"/>
    </row>
    <row r="296">
      <c r="D296" s="113"/>
    </row>
    <row r="297">
      <c r="D297" s="113"/>
    </row>
    <row r="298">
      <c r="D298" s="113"/>
    </row>
    <row r="299">
      <c r="D299" s="113"/>
    </row>
    <row r="300">
      <c r="D300" s="113"/>
    </row>
    <row r="301">
      <c r="D301" s="113"/>
    </row>
    <row r="302">
      <c r="D302" s="113"/>
    </row>
    <row r="303">
      <c r="D303" s="113"/>
    </row>
    <row r="304">
      <c r="D304" s="113"/>
    </row>
    <row r="305">
      <c r="D305" s="113"/>
    </row>
    <row r="306">
      <c r="D306" s="113"/>
    </row>
    <row r="307">
      <c r="D307" s="113"/>
    </row>
    <row r="308">
      <c r="D308" s="113"/>
    </row>
    <row r="309">
      <c r="D309" s="113"/>
    </row>
    <row r="310">
      <c r="D310" s="113"/>
    </row>
    <row r="311">
      <c r="D311" s="113"/>
    </row>
    <row r="312">
      <c r="D312" s="113"/>
    </row>
    <row r="313">
      <c r="D313" s="113"/>
    </row>
    <row r="314">
      <c r="D314" s="113"/>
    </row>
    <row r="315">
      <c r="D315" s="113"/>
    </row>
    <row r="316">
      <c r="D316" s="113"/>
    </row>
    <row r="317">
      <c r="D317" s="113"/>
    </row>
    <row r="318">
      <c r="D318" s="113"/>
    </row>
    <row r="319">
      <c r="D319" s="113"/>
    </row>
    <row r="320">
      <c r="D320" s="113"/>
    </row>
    <row r="321">
      <c r="D321" s="113"/>
    </row>
    <row r="322">
      <c r="D322" s="113"/>
    </row>
    <row r="323">
      <c r="D323" s="113"/>
    </row>
    <row r="324">
      <c r="D324" s="113"/>
    </row>
    <row r="325">
      <c r="D325" s="113"/>
    </row>
    <row r="326">
      <c r="D326" s="113"/>
    </row>
    <row r="327">
      <c r="D327" s="113"/>
    </row>
    <row r="328">
      <c r="D328" s="113"/>
    </row>
    <row r="329">
      <c r="D329" s="113"/>
    </row>
    <row r="330">
      <c r="D330" s="113"/>
    </row>
    <row r="331">
      <c r="D331" s="113"/>
    </row>
    <row r="332">
      <c r="D332" s="113"/>
    </row>
    <row r="333">
      <c r="D333" s="113"/>
    </row>
    <row r="334">
      <c r="D334" s="113"/>
    </row>
    <row r="335">
      <c r="D335" s="113"/>
    </row>
    <row r="336">
      <c r="D336" s="113"/>
    </row>
    <row r="337">
      <c r="D337" s="113"/>
    </row>
    <row r="338">
      <c r="D338" s="113"/>
    </row>
    <row r="339">
      <c r="D339" s="113"/>
    </row>
    <row r="340">
      <c r="D340" s="113"/>
    </row>
    <row r="341">
      <c r="D341" s="113"/>
    </row>
    <row r="342">
      <c r="D342" s="113"/>
    </row>
    <row r="343">
      <c r="D343" s="113"/>
    </row>
    <row r="344">
      <c r="D344" s="113"/>
    </row>
    <row r="345">
      <c r="D345" s="113"/>
    </row>
    <row r="346">
      <c r="D346" s="113"/>
    </row>
    <row r="347">
      <c r="D347" s="113"/>
    </row>
    <row r="348">
      <c r="D348" s="113"/>
    </row>
    <row r="349">
      <c r="D349" s="113"/>
    </row>
    <row r="350">
      <c r="D350" s="113"/>
    </row>
    <row r="351">
      <c r="D351" s="113"/>
    </row>
    <row r="352">
      <c r="D352" s="113"/>
    </row>
    <row r="353">
      <c r="D353" s="113"/>
    </row>
    <row r="354">
      <c r="D354" s="113"/>
    </row>
    <row r="355">
      <c r="D355" s="113"/>
    </row>
    <row r="356">
      <c r="D356" s="113"/>
    </row>
    <row r="357">
      <c r="D357" s="113"/>
    </row>
    <row r="358">
      <c r="D358" s="113"/>
    </row>
    <row r="359">
      <c r="D359" s="113"/>
    </row>
    <row r="360">
      <c r="D360" s="113"/>
    </row>
    <row r="361">
      <c r="D361" s="113"/>
    </row>
    <row r="362">
      <c r="D362" s="113"/>
    </row>
    <row r="363">
      <c r="D363" s="113"/>
    </row>
    <row r="364">
      <c r="D364" s="113"/>
    </row>
    <row r="365">
      <c r="D365" s="113"/>
    </row>
    <row r="366">
      <c r="D366" s="113"/>
    </row>
    <row r="367">
      <c r="D367" s="113"/>
    </row>
    <row r="368">
      <c r="D368" s="113"/>
    </row>
    <row r="369">
      <c r="D369" s="113"/>
    </row>
    <row r="370">
      <c r="D370" s="113"/>
    </row>
    <row r="371">
      <c r="D371" s="113"/>
    </row>
    <row r="372">
      <c r="D372" s="113"/>
    </row>
    <row r="373">
      <c r="D373" s="113"/>
    </row>
    <row r="374">
      <c r="D374" s="113"/>
    </row>
    <row r="375">
      <c r="D375" s="113"/>
    </row>
    <row r="376">
      <c r="D376" s="113"/>
    </row>
    <row r="377">
      <c r="D377" s="113"/>
    </row>
    <row r="378">
      <c r="D378" s="113"/>
    </row>
    <row r="379">
      <c r="D379" s="113"/>
    </row>
    <row r="380">
      <c r="D380" s="113"/>
    </row>
    <row r="381">
      <c r="D381" s="113"/>
    </row>
    <row r="382">
      <c r="D382" s="113"/>
    </row>
    <row r="383">
      <c r="D383" s="113"/>
    </row>
    <row r="384">
      <c r="D384" s="113"/>
    </row>
    <row r="385">
      <c r="D385" s="113"/>
    </row>
    <row r="386">
      <c r="D386" s="113"/>
    </row>
    <row r="387">
      <c r="D387" s="113"/>
    </row>
    <row r="388">
      <c r="D388" s="113"/>
    </row>
    <row r="389">
      <c r="D389" s="113"/>
    </row>
    <row r="390">
      <c r="D390" s="113"/>
    </row>
    <row r="391">
      <c r="D391" s="113"/>
    </row>
    <row r="392">
      <c r="D392" s="113"/>
    </row>
    <row r="393">
      <c r="D393" s="113"/>
    </row>
    <row r="394">
      <c r="D394" s="113"/>
    </row>
    <row r="395">
      <c r="D395" s="113"/>
    </row>
    <row r="396">
      <c r="D396" s="113"/>
    </row>
    <row r="397">
      <c r="D397" s="113"/>
    </row>
    <row r="398">
      <c r="D398" s="113"/>
    </row>
    <row r="399">
      <c r="D399" s="113"/>
    </row>
    <row r="400">
      <c r="D400" s="113"/>
    </row>
    <row r="401">
      <c r="D401" s="113"/>
    </row>
    <row r="402">
      <c r="D402" s="113"/>
    </row>
    <row r="403">
      <c r="D403" s="113"/>
    </row>
    <row r="404">
      <c r="D404" s="113"/>
    </row>
    <row r="405">
      <c r="D405" s="113"/>
    </row>
    <row r="406">
      <c r="D406" s="113"/>
    </row>
    <row r="407">
      <c r="D407" s="113"/>
    </row>
    <row r="408">
      <c r="D408" s="113"/>
    </row>
    <row r="409">
      <c r="D409" s="113"/>
    </row>
    <row r="410">
      <c r="D410" s="113"/>
    </row>
    <row r="411">
      <c r="D411" s="113"/>
    </row>
    <row r="412">
      <c r="D412" s="113"/>
    </row>
    <row r="413">
      <c r="D413" s="113"/>
    </row>
    <row r="414">
      <c r="D414" s="113"/>
    </row>
    <row r="415">
      <c r="D415" s="113"/>
    </row>
    <row r="416">
      <c r="D416" s="113"/>
    </row>
    <row r="417">
      <c r="D417" s="113"/>
    </row>
    <row r="418">
      <c r="D418" s="113"/>
    </row>
    <row r="419">
      <c r="D419" s="113"/>
    </row>
    <row r="420">
      <c r="D420" s="113"/>
    </row>
    <row r="421">
      <c r="D421" s="113"/>
    </row>
    <row r="422">
      <c r="D422" s="113"/>
    </row>
    <row r="423">
      <c r="D423" s="113"/>
    </row>
    <row r="424">
      <c r="D424" s="113"/>
    </row>
    <row r="425">
      <c r="D425" s="113"/>
    </row>
    <row r="426">
      <c r="D426" s="113"/>
    </row>
    <row r="427">
      <c r="D427" s="113"/>
    </row>
    <row r="428">
      <c r="D428" s="113"/>
    </row>
    <row r="429">
      <c r="D429" s="113"/>
    </row>
    <row r="430">
      <c r="D430" s="113"/>
    </row>
    <row r="431">
      <c r="D431" s="113"/>
    </row>
    <row r="432">
      <c r="D432" s="113"/>
    </row>
    <row r="433">
      <c r="D433" s="113"/>
    </row>
    <row r="434">
      <c r="D434" s="113"/>
    </row>
    <row r="435">
      <c r="D435" s="113"/>
    </row>
    <row r="436">
      <c r="D436" s="113"/>
    </row>
    <row r="437">
      <c r="D437" s="113"/>
    </row>
    <row r="438">
      <c r="D438" s="113"/>
    </row>
    <row r="439">
      <c r="D439" s="113"/>
    </row>
    <row r="440">
      <c r="D440" s="113"/>
    </row>
    <row r="441">
      <c r="D441" s="113"/>
    </row>
    <row r="442">
      <c r="D442" s="113"/>
    </row>
    <row r="443">
      <c r="D443" s="113"/>
    </row>
    <row r="444">
      <c r="D444" s="113"/>
    </row>
    <row r="445">
      <c r="D445" s="113"/>
    </row>
    <row r="446">
      <c r="D446" s="113"/>
    </row>
    <row r="447">
      <c r="D447" s="113"/>
    </row>
    <row r="448">
      <c r="D448" s="113"/>
    </row>
    <row r="449">
      <c r="D449" s="113"/>
    </row>
    <row r="450">
      <c r="D450" s="113"/>
    </row>
    <row r="451">
      <c r="D451" s="113"/>
    </row>
    <row r="452">
      <c r="D452" s="113"/>
    </row>
    <row r="453">
      <c r="D453" s="113"/>
    </row>
    <row r="454">
      <c r="D454" s="113"/>
    </row>
    <row r="455">
      <c r="D455" s="113"/>
    </row>
    <row r="456">
      <c r="D456" s="113"/>
    </row>
    <row r="457">
      <c r="D457" s="113"/>
    </row>
    <row r="458">
      <c r="D458" s="113"/>
    </row>
    <row r="459">
      <c r="D459" s="113"/>
    </row>
    <row r="460">
      <c r="D460" s="113"/>
    </row>
    <row r="461">
      <c r="D461" s="113"/>
    </row>
    <row r="462">
      <c r="D462" s="113"/>
    </row>
    <row r="463">
      <c r="D463" s="113"/>
    </row>
    <row r="464">
      <c r="D464" s="113"/>
    </row>
    <row r="465">
      <c r="D465" s="113"/>
    </row>
    <row r="466">
      <c r="D466" s="113"/>
    </row>
    <row r="467">
      <c r="D467" s="113"/>
    </row>
    <row r="468">
      <c r="D468" s="113"/>
    </row>
    <row r="469">
      <c r="D469" s="113"/>
    </row>
    <row r="470">
      <c r="D470" s="113"/>
    </row>
    <row r="471">
      <c r="D471" s="113"/>
    </row>
    <row r="472">
      <c r="D472" s="113"/>
    </row>
    <row r="473">
      <c r="D473" s="113"/>
    </row>
    <row r="474">
      <c r="D474" s="113"/>
    </row>
    <row r="475">
      <c r="D475" s="113"/>
    </row>
    <row r="476">
      <c r="D476" s="113"/>
    </row>
    <row r="477">
      <c r="D477" s="113"/>
    </row>
    <row r="478">
      <c r="D478" s="113"/>
    </row>
    <row r="479">
      <c r="D479" s="113"/>
    </row>
    <row r="480">
      <c r="D480" s="113"/>
    </row>
    <row r="481">
      <c r="D481" s="113"/>
    </row>
    <row r="482">
      <c r="D482" s="113"/>
    </row>
    <row r="483">
      <c r="D483" s="113"/>
    </row>
    <row r="484">
      <c r="D484" s="113"/>
    </row>
    <row r="485">
      <c r="D485" s="113"/>
    </row>
    <row r="486">
      <c r="D486" s="113"/>
    </row>
    <row r="487">
      <c r="D487" s="113"/>
    </row>
    <row r="488">
      <c r="D488" s="113"/>
    </row>
    <row r="489">
      <c r="D489" s="113"/>
    </row>
    <row r="490">
      <c r="D490" s="113"/>
    </row>
    <row r="491">
      <c r="D491" s="113"/>
    </row>
    <row r="492">
      <c r="D492" s="113"/>
    </row>
    <row r="493">
      <c r="D493" s="113"/>
    </row>
    <row r="494">
      <c r="D494" s="113"/>
    </row>
    <row r="495">
      <c r="D495" s="113"/>
    </row>
    <row r="496">
      <c r="D496" s="113"/>
    </row>
    <row r="497">
      <c r="D497" s="113"/>
    </row>
    <row r="498">
      <c r="D498" s="113"/>
    </row>
    <row r="499">
      <c r="D499" s="113"/>
    </row>
    <row r="500">
      <c r="D500" s="113"/>
    </row>
    <row r="501">
      <c r="D501" s="113"/>
    </row>
    <row r="502">
      <c r="D502" s="113"/>
    </row>
    <row r="503">
      <c r="D503" s="113"/>
    </row>
    <row r="504">
      <c r="D504" s="113"/>
    </row>
    <row r="505">
      <c r="D505" s="113"/>
    </row>
    <row r="506">
      <c r="D506" s="113"/>
    </row>
    <row r="507">
      <c r="D507" s="113"/>
    </row>
    <row r="508">
      <c r="D508" s="113"/>
    </row>
    <row r="509">
      <c r="D509" s="113"/>
    </row>
    <row r="510">
      <c r="D510" s="113"/>
    </row>
    <row r="511">
      <c r="D511" s="113"/>
    </row>
    <row r="512">
      <c r="D512" s="113"/>
    </row>
    <row r="513">
      <c r="D513" s="113"/>
    </row>
    <row r="514">
      <c r="D514" s="113"/>
    </row>
    <row r="515">
      <c r="D515" s="113"/>
    </row>
    <row r="516">
      <c r="D516" s="113"/>
    </row>
    <row r="517">
      <c r="D517" s="113"/>
    </row>
    <row r="518">
      <c r="D518" s="113"/>
    </row>
    <row r="519">
      <c r="D519" s="113"/>
    </row>
    <row r="520">
      <c r="D520" s="113"/>
    </row>
    <row r="521">
      <c r="D521" s="113"/>
    </row>
    <row r="522">
      <c r="D522" s="113"/>
    </row>
    <row r="523">
      <c r="D523" s="113"/>
    </row>
    <row r="524">
      <c r="D524" s="113"/>
    </row>
    <row r="525">
      <c r="D525" s="113"/>
    </row>
    <row r="526">
      <c r="D526" s="113"/>
    </row>
    <row r="527">
      <c r="D527" s="113"/>
    </row>
    <row r="528">
      <c r="D528" s="113"/>
    </row>
    <row r="529">
      <c r="D529" s="113"/>
    </row>
    <row r="530">
      <c r="D530" s="113"/>
    </row>
    <row r="531">
      <c r="D531" s="113"/>
    </row>
    <row r="532">
      <c r="D532" s="113"/>
    </row>
    <row r="533">
      <c r="D533" s="113"/>
    </row>
    <row r="534">
      <c r="D534" s="113"/>
    </row>
    <row r="535">
      <c r="D535" s="113"/>
    </row>
    <row r="536">
      <c r="D536" s="113"/>
    </row>
    <row r="537">
      <c r="D537" s="113"/>
    </row>
    <row r="538">
      <c r="D538" s="113"/>
    </row>
    <row r="539">
      <c r="D539" s="113"/>
    </row>
    <row r="540">
      <c r="D540" s="113"/>
    </row>
    <row r="541">
      <c r="D541" s="113"/>
    </row>
    <row r="542">
      <c r="D542" s="113"/>
    </row>
    <row r="543">
      <c r="D543" s="113"/>
    </row>
    <row r="544">
      <c r="D544" s="113"/>
    </row>
    <row r="545">
      <c r="D545" s="113"/>
    </row>
    <row r="546">
      <c r="D546" s="113"/>
    </row>
    <row r="547">
      <c r="D547" s="113"/>
    </row>
    <row r="548">
      <c r="D548" s="113"/>
    </row>
    <row r="549">
      <c r="D549" s="113"/>
    </row>
    <row r="550">
      <c r="D550" s="113"/>
    </row>
    <row r="551">
      <c r="D551" s="113"/>
    </row>
    <row r="552">
      <c r="D552" s="113"/>
    </row>
    <row r="553">
      <c r="D553" s="113"/>
    </row>
    <row r="554">
      <c r="D554" s="113"/>
    </row>
    <row r="555">
      <c r="D555" s="113"/>
    </row>
    <row r="556">
      <c r="D556" s="113"/>
    </row>
    <row r="557">
      <c r="D557" s="113"/>
    </row>
    <row r="558">
      <c r="D558" s="113"/>
    </row>
    <row r="559">
      <c r="D559" s="113"/>
    </row>
    <row r="560">
      <c r="D560" s="113"/>
    </row>
    <row r="561">
      <c r="D561" s="113"/>
    </row>
    <row r="562">
      <c r="D562" s="113"/>
    </row>
    <row r="563">
      <c r="D563" s="113"/>
    </row>
    <row r="564">
      <c r="D564" s="113"/>
    </row>
    <row r="565">
      <c r="D565" s="113"/>
    </row>
    <row r="566">
      <c r="D566" s="113"/>
    </row>
    <row r="567">
      <c r="D567" s="113"/>
    </row>
    <row r="568">
      <c r="D568" s="113"/>
    </row>
    <row r="569">
      <c r="D569" s="113"/>
    </row>
    <row r="570">
      <c r="D570" s="113"/>
    </row>
    <row r="571">
      <c r="D571" s="113"/>
    </row>
    <row r="572">
      <c r="D572" s="113"/>
    </row>
    <row r="573">
      <c r="D573" s="113"/>
    </row>
    <row r="574">
      <c r="D574" s="113"/>
    </row>
    <row r="575">
      <c r="D575" s="113"/>
    </row>
    <row r="576">
      <c r="D576" s="113"/>
    </row>
    <row r="577">
      <c r="D577" s="113"/>
    </row>
    <row r="578">
      <c r="D578" s="113"/>
    </row>
    <row r="579">
      <c r="D579" s="113"/>
    </row>
    <row r="580">
      <c r="D580" s="113"/>
    </row>
    <row r="581">
      <c r="D581" s="113"/>
    </row>
    <row r="582">
      <c r="D582" s="113"/>
    </row>
    <row r="583">
      <c r="D583" s="113"/>
    </row>
    <row r="584">
      <c r="D584" s="113"/>
    </row>
    <row r="585">
      <c r="D585" s="113"/>
    </row>
    <row r="586">
      <c r="D586" s="113"/>
    </row>
    <row r="587">
      <c r="D587" s="113"/>
    </row>
    <row r="588">
      <c r="D588" s="113"/>
    </row>
    <row r="589">
      <c r="D589" s="113"/>
    </row>
    <row r="590">
      <c r="D590" s="113"/>
    </row>
    <row r="591">
      <c r="D591" s="113"/>
    </row>
    <row r="592">
      <c r="D592" s="113"/>
    </row>
    <row r="593">
      <c r="D593" s="113"/>
    </row>
    <row r="594">
      <c r="D594" s="113"/>
    </row>
    <row r="595">
      <c r="D595" s="113"/>
    </row>
    <row r="596">
      <c r="D596" s="113"/>
    </row>
    <row r="597">
      <c r="D597" s="113"/>
    </row>
    <row r="598">
      <c r="D598" s="113"/>
    </row>
    <row r="599">
      <c r="D599" s="113"/>
    </row>
    <row r="600">
      <c r="D600" s="113"/>
    </row>
    <row r="601">
      <c r="D601" s="113"/>
    </row>
    <row r="602">
      <c r="D602" s="113"/>
    </row>
    <row r="603">
      <c r="D603" s="113"/>
    </row>
    <row r="604">
      <c r="D604" s="113"/>
    </row>
    <row r="605">
      <c r="D605" s="113"/>
    </row>
    <row r="606">
      <c r="D606" s="113"/>
    </row>
    <row r="607">
      <c r="D607" s="113"/>
    </row>
    <row r="608">
      <c r="D608" s="113"/>
    </row>
    <row r="609">
      <c r="D609" s="113"/>
    </row>
    <row r="610">
      <c r="D610" s="113"/>
    </row>
    <row r="611">
      <c r="D611" s="113"/>
    </row>
    <row r="612">
      <c r="D612" s="113"/>
    </row>
    <row r="613">
      <c r="D613" s="113"/>
    </row>
    <row r="614">
      <c r="D614" s="113"/>
    </row>
    <row r="615">
      <c r="D615" s="113"/>
    </row>
    <row r="616">
      <c r="D616" s="113"/>
    </row>
    <row r="617">
      <c r="D617" s="113"/>
    </row>
    <row r="618">
      <c r="D618" s="113"/>
    </row>
    <row r="619">
      <c r="D619" s="113"/>
    </row>
    <row r="620">
      <c r="D620" s="113"/>
    </row>
    <row r="621">
      <c r="D621" s="113"/>
    </row>
    <row r="622">
      <c r="D622" s="113"/>
    </row>
    <row r="623">
      <c r="D623" s="113"/>
    </row>
    <row r="624">
      <c r="D624" s="113"/>
    </row>
    <row r="625">
      <c r="D625" s="113"/>
    </row>
    <row r="626">
      <c r="D626" s="113"/>
    </row>
    <row r="627">
      <c r="D627" s="113"/>
    </row>
    <row r="628">
      <c r="D628" s="113"/>
    </row>
    <row r="629">
      <c r="D629" s="113"/>
    </row>
    <row r="630">
      <c r="D630" s="113"/>
    </row>
    <row r="631">
      <c r="D631" s="113"/>
    </row>
    <row r="632">
      <c r="D632" s="113"/>
    </row>
    <row r="633">
      <c r="D633" s="113"/>
    </row>
    <row r="634">
      <c r="D634" s="113"/>
    </row>
    <row r="635">
      <c r="D635" s="113"/>
    </row>
    <row r="636">
      <c r="D636" s="113"/>
    </row>
    <row r="637">
      <c r="D637" s="113"/>
    </row>
    <row r="638">
      <c r="D638" s="113"/>
    </row>
    <row r="639">
      <c r="D639" s="113"/>
    </row>
    <row r="640">
      <c r="D640" s="113"/>
    </row>
    <row r="641">
      <c r="D641" s="113"/>
    </row>
    <row r="642">
      <c r="D642" s="113"/>
    </row>
    <row r="643">
      <c r="D643" s="113"/>
    </row>
    <row r="644">
      <c r="D644" s="113"/>
    </row>
    <row r="645">
      <c r="D645" s="113"/>
    </row>
    <row r="646">
      <c r="D646" s="113"/>
    </row>
    <row r="647">
      <c r="D647" s="113"/>
    </row>
    <row r="648">
      <c r="D648" s="113"/>
    </row>
    <row r="649">
      <c r="D649" s="113"/>
    </row>
    <row r="650">
      <c r="D650" s="113"/>
    </row>
    <row r="651">
      <c r="D651" s="113"/>
    </row>
    <row r="652">
      <c r="D652" s="113"/>
    </row>
    <row r="653">
      <c r="D653" s="113"/>
    </row>
    <row r="654">
      <c r="D654" s="113"/>
    </row>
    <row r="655">
      <c r="D655" s="113"/>
    </row>
    <row r="656">
      <c r="D656" s="113"/>
    </row>
    <row r="657">
      <c r="D657" s="113"/>
    </row>
    <row r="658">
      <c r="D658" s="113"/>
    </row>
    <row r="659">
      <c r="D659" s="113"/>
    </row>
    <row r="660">
      <c r="D660" s="113"/>
    </row>
    <row r="661">
      <c r="D661" s="113"/>
    </row>
    <row r="662">
      <c r="D662" s="113"/>
    </row>
    <row r="663">
      <c r="D663" s="113"/>
    </row>
    <row r="664">
      <c r="D664" s="113"/>
    </row>
    <row r="665">
      <c r="D665" s="113"/>
    </row>
    <row r="666">
      <c r="D666" s="113"/>
    </row>
    <row r="667">
      <c r="D667" s="113"/>
    </row>
    <row r="668">
      <c r="D668" s="113"/>
    </row>
    <row r="669">
      <c r="D669" s="113"/>
    </row>
    <row r="670">
      <c r="D670" s="113"/>
    </row>
    <row r="671">
      <c r="D671" s="113"/>
    </row>
    <row r="672">
      <c r="D672" s="113"/>
    </row>
    <row r="673">
      <c r="D673" s="113"/>
    </row>
    <row r="674">
      <c r="D674" s="113"/>
    </row>
    <row r="675">
      <c r="D675" s="113"/>
    </row>
    <row r="676">
      <c r="D676" s="113"/>
    </row>
    <row r="677">
      <c r="D677" s="113"/>
    </row>
    <row r="678">
      <c r="D678" s="113"/>
    </row>
    <row r="679">
      <c r="D679" s="113"/>
    </row>
    <row r="680">
      <c r="D680" s="113"/>
    </row>
    <row r="681">
      <c r="D681" s="113"/>
    </row>
    <row r="682">
      <c r="D682" s="113"/>
    </row>
    <row r="683">
      <c r="D683" s="113"/>
    </row>
    <row r="684">
      <c r="D684" s="113"/>
    </row>
    <row r="685">
      <c r="D685" s="113"/>
    </row>
    <row r="686">
      <c r="D686" s="113"/>
    </row>
    <row r="687">
      <c r="D687" s="113"/>
    </row>
    <row r="688">
      <c r="D688" s="113"/>
    </row>
    <row r="689">
      <c r="D689" s="113"/>
    </row>
    <row r="690">
      <c r="D690" s="113"/>
    </row>
    <row r="691">
      <c r="D691" s="113"/>
    </row>
    <row r="692">
      <c r="D692" s="113"/>
    </row>
    <row r="693">
      <c r="D693" s="113"/>
    </row>
    <row r="694">
      <c r="D694" s="113"/>
    </row>
    <row r="695">
      <c r="D695" s="113"/>
    </row>
    <row r="696">
      <c r="D696" s="113"/>
    </row>
    <row r="697">
      <c r="D697" s="113"/>
    </row>
    <row r="698">
      <c r="D698" s="113"/>
    </row>
    <row r="699">
      <c r="D699" s="113"/>
    </row>
    <row r="700">
      <c r="D700" s="113"/>
    </row>
    <row r="701">
      <c r="D701" s="113"/>
    </row>
    <row r="702">
      <c r="D702" s="113"/>
    </row>
    <row r="703">
      <c r="D703" s="113"/>
    </row>
    <row r="704">
      <c r="D704" s="113"/>
    </row>
    <row r="705">
      <c r="D705" s="113"/>
    </row>
    <row r="706">
      <c r="D706" s="113"/>
    </row>
    <row r="707">
      <c r="D707" s="113"/>
    </row>
    <row r="708">
      <c r="D708" s="113"/>
    </row>
    <row r="709">
      <c r="D709" s="113"/>
    </row>
    <row r="710">
      <c r="D710" s="113"/>
    </row>
    <row r="711">
      <c r="D711" s="113"/>
    </row>
    <row r="712">
      <c r="D712" s="113"/>
    </row>
    <row r="713">
      <c r="D713" s="113"/>
    </row>
    <row r="714">
      <c r="D714" s="113"/>
    </row>
    <row r="715">
      <c r="D715" s="113"/>
    </row>
    <row r="716">
      <c r="D716" s="113"/>
    </row>
    <row r="717">
      <c r="D717" s="113"/>
    </row>
    <row r="718">
      <c r="D718" s="113"/>
    </row>
    <row r="719">
      <c r="D719" s="113"/>
    </row>
    <row r="720">
      <c r="D720" s="113"/>
    </row>
    <row r="721">
      <c r="D721" s="113"/>
    </row>
    <row r="722">
      <c r="D722" s="113"/>
    </row>
    <row r="723">
      <c r="D723" s="113"/>
    </row>
    <row r="724">
      <c r="D724" s="113"/>
    </row>
    <row r="725">
      <c r="D725" s="113"/>
    </row>
    <row r="726">
      <c r="D726" s="113"/>
    </row>
    <row r="727">
      <c r="D727" s="113"/>
    </row>
    <row r="728">
      <c r="D728" s="113"/>
    </row>
    <row r="729">
      <c r="D729" s="113"/>
    </row>
    <row r="730">
      <c r="D730" s="113"/>
    </row>
    <row r="731">
      <c r="D731" s="113"/>
    </row>
    <row r="732">
      <c r="D732" s="113"/>
    </row>
    <row r="733">
      <c r="D733" s="113"/>
    </row>
    <row r="734">
      <c r="D734" s="113"/>
    </row>
    <row r="735">
      <c r="D735" s="113"/>
    </row>
    <row r="736">
      <c r="D736" s="113"/>
    </row>
    <row r="737">
      <c r="D737" s="113"/>
    </row>
    <row r="738">
      <c r="D738" s="113"/>
    </row>
    <row r="739">
      <c r="D739" s="113"/>
    </row>
    <row r="740">
      <c r="D740" s="113"/>
    </row>
    <row r="741">
      <c r="D741" s="113"/>
    </row>
    <row r="742">
      <c r="D742" s="113"/>
    </row>
    <row r="743">
      <c r="D743" s="113"/>
    </row>
    <row r="744">
      <c r="D744" s="113"/>
    </row>
    <row r="745">
      <c r="D745" s="113"/>
    </row>
    <row r="746">
      <c r="D746" s="113"/>
    </row>
    <row r="747">
      <c r="D747" s="113"/>
    </row>
    <row r="748">
      <c r="D748" s="113"/>
    </row>
    <row r="749">
      <c r="D749" s="113"/>
    </row>
    <row r="750">
      <c r="D750" s="113"/>
    </row>
    <row r="751">
      <c r="D751" s="113"/>
    </row>
    <row r="752">
      <c r="D752" s="113"/>
    </row>
    <row r="753">
      <c r="D753" s="113"/>
    </row>
    <row r="754">
      <c r="D754" s="113"/>
    </row>
    <row r="755">
      <c r="D755" s="113"/>
    </row>
    <row r="756">
      <c r="D756" s="113"/>
    </row>
    <row r="757">
      <c r="D757" s="113"/>
    </row>
    <row r="758">
      <c r="D758" s="113"/>
    </row>
    <row r="759">
      <c r="D759" s="113"/>
    </row>
    <row r="760">
      <c r="D760" s="113"/>
    </row>
    <row r="761">
      <c r="D761" s="113"/>
    </row>
    <row r="762">
      <c r="D762" s="113"/>
    </row>
    <row r="763">
      <c r="D763" s="113"/>
    </row>
    <row r="764">
      <c r="D764" s="113"/>
    </row>
    <row r="765">
      <c r="D765" s="113"/>
    </row>
    <row r="766">
      <c r="D766" s="113"/>
    </row>
    <row r="767">
      <c r="D767" s="113"/>
    </row>
    <row r="768">
      <c r="D768" s="113"/>
    </row>
    <row r="769">
      <c r="D769" s="113"/>
    </row>
    <row r="770">
      <c r="D770" s="113"/>
    </row>
    <row r="771">
      <c r="D771" s="113"/>
    </row>
    <row r="772">
      <c r="D772" s="113"/>
    </row>
    <row r="773">
      <c r="D773" s="113"/>
    </row>
    <row r="774">
      <c r="D774" s="113"/>
    </row>
    <row r="775">
      <c r="D775" s="113"/>
    </row>
    <row r="776">
      <c r="D776" s="113"/>
    </row>
    <row r="777">
      <c r="D777" s="113"/>
    </row>
    <row r="778">
      <c r="D778" s="113"/>
    </row>
    <row r="779">
      <c r="D779" s="113"/>
    </row>
    <row r="780">
      <c r="D780" s="113"/>
    </row>
    <row r="781">
      <c r="D781" s="113"/>
    </row>
    <row r="782">
      <c r="D782" s="113"/>
    </row>
    <row r="783">
      <c r="D783" s="113"/>
    </row>
    <row r="784">
      <c r="D784" s="113"/>
    </row>
    <row r="785">
      <c r="D785" s="113"/>
    </row>
    <row r="786">
      <c r="D786" s="113"/>
    </row>
    <row r="787">
      <c r="D787" s="113"/>
    </row>
    <row r="788">
      <c r="D788" s="113"/>
    </row>
    <row r="789">
      <c r="D789" s="113"/>
    </row>
    <row r="790">
      <c r="D790" s="113"/>
    </row>
    <row r="791">
      <c r="D791" s="113"/>
    </row>
    <row r="792">
      <c r="D792" s="113"/>
    </row>
    <row r="793">
      <c r="D793" s="113"/>
    </row>
    <row r="794">
      <c r="D794" s="113"/>
    </row>
    <row r="795">
      <c r="D795" s="113"/>
    </row>
    <row r="796">
      <c r="D796" s="113"/>
    </row>
    <row r="797">
      <c r="D797" s="113"/>
    </row>
    <row r="798">
      <c r="D798" s="113"/>
    </row>
    <row r="799">
      <c r="D799" s="113"/>
    </row>
    <row r="800">
      <c r="D800" s="113"/>
    </row>
    <row r="801">
      <c r="D801" s="113"/>
    </row>
    <row r="802">
      <c r="D802" s="113"/>
    </row>
    <row r="803">
      <c r="D803" s="113"/>
    </row>
    <row r="804">
      <c r="D804" s="113"/>
    </row>
    <row r="805">
      <c r="D805" s="113"/>
    </row>
    <row r="806">
      <c r="D806" s="113"/>
    </row>
    <row r="807">
      <c r="D807" s="113"/>
    </row>
    <row r="808">
      <c r="D808" s="113"/>
    </row>
    <row r="809">
      <c r="D809" s="113"/>
    </row>
    <row r="810">
      <c r="D810" s="113"/>
    </row>
    <row r="811">
      <c r="D811" s="113"/>
    </row>
    <row r="812">
      <c r="D812" s="113"/>
    </row>
    <row r="813">
      <c r="D813" s="113"/>
    </row>
    <row r="814">
      <c r="D814" s="113"/>
    </row>
    <row r="815">
      <c r="D815" s="113"/>
    </row>
    <row r="816">
      <c r="D816" s="113"/>
    </row>
    <row r="817">
      <c r="D817" s="113"/>
    </row>
    <row r="818">
      <c r="D818" s="113"/>
    </row>
    <row r="819">
      <c r="D819" s="113"/>
    </row>
    <row r="820">
      <c r="D820" s="113"/>
    </row>
    <row r="821">
      <c r="D821" s="113"/>
    </row>
    <row r="822">
      <c r="D822" s="113"/>
    </row>
    <row r="823">
      <c r="D823" s="113"/>
    </row>
    <row r="824">
      <c r="D824" s="113"/>
    </row>
    <row r="825">
      <c r="D825" s="113"/>
    </row>
    <row r="826">
      <c r="D826" s="113"/>
    </row>
    <row r="827">
      <c r="D827" s="113"/>
    </row>
    <row r="828">
      <c r="D828" s="113"/>
    </row>
    <row r="829">
      <c r="D829" s="113"/>
    </row>
    <row r="830">
      <c r="D830" s="113"/>
    </row>
    <row r="831">
      <c r="D831" s="113"/>
    </row>
    <row r="832">
      <c r="D832" s="113"/>
    </row>
    <row r="833">
      <c r="D833" s="113"/>
    </row>
    <row r="834">
      <c r="D834" s="113"/>
    </row>
    <row r="835">
      <c r="D835" s="113"/>
    </row>
    <row r="836">
      <c r="D836" s="113"/>
    </row>
    <row r="837">
      <c r="D837" s="113"/>
    </row>
    <row r="838">
      <c r="D838" s="113"/>
    </row>
    <row r="839">
      <c r="D839" s="113"/>
    </row>
    <row r="840">
      <c r="D840" s="113"/>
    </row>
    <row r="841">
      <c r="D841" s="113"/>
    </row>
    <row r="842">
      <c r="D842" s="113"/>
    </row>
    <row r="843">
      <c r="D843" s="113"/>
    </row>
    <row r="844">
      <c r="D844" s="113"/>
    </row>
    <row r="845">
      <c r="D845" s="113"/>
    </row>
    <row r="846">
      <c r="D846" s="113"/>
    </row>
    <row r="847">
      <c r="D847" s="113"/>
    </row>
    <row r="848">
      <c r="D848" s="113"/>
    </row>
    <row r="849">
      <c r="D849" s="113"/>
    </row>
    <row r="850">
      <c r="D850" s="113"/>
    </row>
    <row r="851">
      <c r="D851" s="113"/>
    </row>
    <row r="852">
      <c r="D852" s="113"/>
    </row>
    <row r="853">
      <c r="D853" s="113"/>
    </row>
    <row r="854">
      <c r="D854" s="113"/>
    </row>
    <row r="855">
      <c r="D855" s="113"/>
    </row>
    <row r="856">
      <c r="D856" s="113"/>
    </row>
    <row r="857">
      <c r="D857" s="113"/>
    </row>
    <row r="858">
      <c r="D858" s="113"/>
    </row>
    <row r="859">
      <c r="D859" s="113"/>
    </row>
    <row r="860">
      <c r="D860" s="113"/>
    </row>
    <row r="861">
      <c r="D861" s="113"/>
    </row>
    <row r="862">
      <c r="D862" s="113"/>
    </row>
    <row r="863">
      <c r="D863" s="113"/>
    </row>
    <row r="864">
      <c r="D864" s="113"/>
    </row>
    <row r="865">
      <c r="D865" s="113"/>
    </row>
    <row r="866">
      <c r="D866" s="113"/>
    </row>
    <row r="867">
      <c r="D867" s="113"/>
    </row>
    <row r="868">
      <c r="D868" s="113"/>
    </row>
    <row r="869">
      <c r="D869" s="113"/>
    </row>
    <row r="870">
      <c r="D870" s="113"/>
    </row>
    <row r="871">
      <c r="D871" s="113"/>
    </row>
    <row r="872">
      <c r="D872" s="113"/>
    </row>
    <row r="873">
      <c r="D873" s="113"/>
    </row>
    <row r="874">
      <c r="D874" s="113"/>
    </row>
    <row r="875">
      <c r="D875" s="113"/>
    </row>
    <row r="876">
      <c r="D876" s="113"/>
    </row>
    <row r="877">
      <c r="D877" s="113"/>
    </row>
    <row r="878">
      <c r="D878" s="113"/>
    </row>
    <row r="879">
      <c r="D879" s="113"/>
    </row>
    <row r="880">
      <c r="D880" s="113"/>
    </row>
    <row r="881">
      <c r="D881" s="113"/>
    </row>
    <row r="882">
      <c r="D882" s="113"/>
    </row>
    <row r="883">
      <c r="D883" s="113"/>
    </row>
    <row r="884">
      <c r="D884" s="113"/>
    </row>
    <row r="885">
      <c r="D885" s="113"/>
    </row>
    <row r="886">
      <c r="D886" s="113"/>
    </row>
    <row r="887">
      <c r="D887" s="113"/>
    </row>
    <row r="888">
      <c r="D888" s="113"/>
    </row>
    <row r="889">
      <c r="D889" s="113"/>
    </row>
    <row r="890">
      <c r="D890" s="113"/>
    </row>
    <row r="891">
      <c r="D891" s="113"/>
    </row>
    <row r="892">
      <c r="D892" s="113"/>
    </row>
    <row r="893">
      <c r="D893" s="113"/>
    </row>
    <row r="894">
      <c r="D894" s="113"/>
    </row>
    <row r="895">
      <c r="D895" s="113"/>
    </row>
    <row r="896">
      <c r="D896" s="113"/>
    </row>
    <row r="897">
      <c r="D897" s="113"/>
    </row>
    <row r="898">
      <c r="D898" s="113"/>
    </row>
    <row r="899">
      <c r="D899" s="113"/>
    </row>
    <row r="900">
      <c r="D900" s="113"/>
    </row>
    <row r="901">
      <c r="D901" s="113"/>
    </row>
    <row r="902">
      <c r="D902" s="113"/>
    </row>
    <row r="903">
      <c r="D903" s="113"/>
    </row>
    <row r="904">
      <c r="D904" s="113"/>
    </row>
    <row r="905">
      <c r="D905" s="113"/>
    </row>
    <row r="906">
      <c r="D906" s="113"/>
    </row>
    <row r="907">
      <c r="D907" s="113"/>
    </row>
    <row r="908">
      <c r="D908" s="113"/>
    </row>
    <row r="909">
      <c r="D909" s="113"/>
    </row>
    <row r="910">
      <c r="D910" s="113"/>
    </row>
    <row r="911">
      <c r="D911" s="113"/>
    </row>
    <row r="912">
      <c r="D912" s="113"/>
    </row>
    <row r="913">
      <c r="D913" s="113"/>
    </row>
    <row r="914">
      <c r="D914" s="113"/>
    </row>
    <row r="915">
      <c r="D915" s="113"/>
    </row>
    <row r="916">
      <c r="D916" s="113"/>
    </row>
    <row r="917">
      <c r="D917" s="113"/>
    </row>
    <row r="918">
      <c r="D918" s="113"/>
    </row>
    <row r="919">
      <c r="D919" s="113"/>
    </row>
    <row r="920">
      <c r="D920" s="113"/>
    </row>
    <row r="921">
      <c r="D921" s="113"/>
    </row>
    <row r="922">
      <c r="D922" s="113"/>
    </row>
    <row r="923">
      <c r="D923" s="113"/>
    </row>
    <row r="924">
      <c r="D924" s="113"/>
    </row>
    <row r="925">
      <c r="D925" s="113"/>
    </row>
    <row r="926">
      <c r="D926" s="113"/>
    </row>
    <row r="927">
      <c r="D927" s="113"/>
    </row>
    <row r="928">
      <c r="D928" s="113"/>
    </row>
    <row r="929">
      <c r="D929" s="113"/>
    </row>
    <row r="930">
      <c r="D930" s="113"/>
    </row>
    <row r="931">
      <c r="D931" s="113"/>
    </row>
    <row r="932">
      <c r="D932" s="113"/>
    </row>
    <row r="933">
      <c r="D933" s="113"/>
    </row>
    <row r="934">
      <c r="D934" s="113"/>
    </row>
    <row r="935">
      <c r="D935" s="113"/>
    </row>
    <row r="936">
      <c r="D936" s="113"/>
    </row>
    <row r="937">
      <c r="D937" s="113"/>
    </row>
    <row r="938">
      <c r="D938" s="113"/>
    </row>
    <row r="939">
      <c r="D939" s="113"/>
    </row>
    <row r="940">
      <c r="D940" s="113"/>
    </row>
    <row r="941">
      <c r="D941" s="113"/>
    </row>
    <row r="942">
      <c r="D942" s="113"/>
    </row>
    <row r="943">
      <c r="D943" s="113"/>
    </row>
    <row r="944">
      <c r="D944" s="113"/>
    </row>
    <row r="945">
      <c r="D945" s="113"/>
    </row>
    <row r="946">
      <c r="D946" s="113"/>
    </row>
    <row r="947">
      <c r="D947" s="113"/>
    </row>
    <row r="948">
      <c r="D948" s="113"/>
    </row>
    <row r="949">
      <c r="D949" s="113"/>
    </row>
    <row r="950">
      <c r="D950" s="113"/>
    </row>
    <row r="951">
      <c r="D951" s="113"/>
    </row>
    <row r="952">
      <c r="D952" s="113"/>
    </row>
    <row r="953">
      <c r="D953" s="113"/>
    </row>
    <row r="954">
      <c r="D954" s="113"/>
    </row>
    <row r="955">
      <c r="D955" s="113"/>
    </row>
    <row r="956">
      <c r="D956" s="113"/>
    </row>
    <row r="957">
      <c r="D957" s="113"/>
    </row>
    <row r="958">
      <c r="D958" s="113"/>
    </row>
    <row r="959">
      <c r="D959" s="113"/>
    </row>
    <row r="960">
      <c r="D960" s="113"/>
    </row>
    <row r="961">
      <c r="D961" s="113"/>
    </row>
    <row r="962">
      <c r="D962" s="113"/>
    </row>
    <row r="963">
      <c r="D963" s="113"/>
    </row>
    <row r="964">
      <c r="D964" s="113"/>
    </row>
    <row r="965">
      <c r="D965" s="113"/>
    </row>
    <row r="966">
      <c r="D966" s="113"/>
    </row>
    <row r="967">
      <c r="D967" s="113"/>
    </row>
    <row r="968">
      <c r="D968" s="113"/>
    </row>
    <row r="969">
      <c r="D969" s="113"/>
    </row>
    <row r="970">
      <c r="D970" s="113"/>
    </row>
    <row r="971">
      <c r="D971" s="113"/>
    </row>
    <row r="972">
      <c r="D972" s="113"/>
    </row>
    <row r="973">
      <c r="D973" s="113"/>
    </row>
    <row r="974">
      <c r="D974" s="113"/>
    </row>
    <row r="975">
      <c r="D975" s="113"/>
    </row>
    <row r="976">
      <c r="D976" s="113"/>
    </row>
    <row r="977">
      <c r="D977" s="113"/>
    </row>
    <row r="978">
      <c r="D978" s="113"/>
    </row>
    <row r="979">
      <c r="D979" s="113"/>
    </row>
    <row r="980">
      <c r="D980" s="113"/>
    </row>
    <row r="981">
      <c r="D981" s="113"/>
    </row>
    <row r="982">
      <c r="D982" s="113"/>
    </row>
    <row r="983">
      <c r="D983" s="113"/>
    </row>
    <row r="984">
      <c r="D984" s="113"/>
    </row>
    <row r="985">
      <c r="D985" s="113"/>
    </row>
    <row r="986">
      <c r="D986" s="113"/>
    </row>
    <row r="987">
      <c r="D987" s="113"/>
    </row>
    <row r="988">
      <c r="D988" s="113"/>
    </row>
    <row r="989">
      <c r="D989" s="113"/>
    </row>
    <row r="990">
      <c r="D990" s="113"/>
    </row>
    <row r="991">
      <c r="D991" s="113"/>
    </row>
    <row r="992">
      <c r="D992" s="113"/>
    </row>
    <row r="993">
      <c r="D993" s="113"/>
    </row>
    <row r="994">
      <c r="D994" s="113"/>
    </row>
    <row r="995">
      <c r="D995" s="113"/>
    </row>
    <row r="996">
      <c r="D996" s="113"/>
    </row>
    <row r="997">
      <c r="D997" s="113"/>
    </row>
    <row r="998">
      <c r="D998" s="113"/>
    </row>
    <row r="999">
      <c r="D999" s="113"/>
    </row>
    <row r="1000">
      <c r="D1000" s="113"/>
    </row>
    <row r="1001">
      <c r="D1001" s="113"/>
    </row>
    <row r="1002">
      <c r="D1002" s="113"/>
    </row>
    <row r="1003">
      <c r="D1003" s="113"/>
    </row>
    <row r="1004">
      <c r="D1004" s="113"/>
    </row>
    <row r="1005">
      <c r="D1005" s="113"/>
    </row>
    <row r="1006">
      <c r="D1006" s="113"/>
    </row>
    <row r="1007">
      <c r="D1007" s="1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outlineLevelRow="2"/>
  <cols>
    <col customWidth="1" min="1" max="1" width="4.88"/>
    <col customWidth="1" min="2" max="2" width="9.13"/>
    <col customWidth="1" min="3" max="3" width="77.0"/>
    <col customWidth="1" min="4" max="7" width="12.63"/>
  </cols>
  <sheetData>
    <row r="1">
      <c r="A1" s="114" t="s">
        <v>330</v>
      </c>
      <c r="B1" s="115" t="s">
        <v>331</v>
      </c>
      <c r="H1" s="116"/>
    </row>
    <row r="2">
      <c r="A2" s="117"/>
    </row>
    <row r="3">
      <c r="A3" s="118"/>
      <c r="B3" s="118"/>
      <c r="C3" s="118"/>
      <c r="D3" s="3" t="s">
        <v>2</v>
      </c>
      <c r="E3" s="3" t="s">
        <v>3</v>
      </c>
      <c r="F3" s="3" t="s">
        <v>4</v>
      </c>
      <c r="G3" s="3" t="s">
        <v>5</v>
      </c>
      <c r="H3" s="57" t="s">
        <v>332</v>
      </c>
      <c r="I3" s="57" t="s">
        <v>333</v>
      </c>
      <c r="J3" s="57" t="s">
        <v>334</v>
      </c>
    </row>
    <row r="4">
      <c r="A4" s="118"/>
      <c r="B4" s="119"/>
      <c r="C4" s="119" t="s">
        <v>335</v>
      </c>
      <c r="D4" s="120">
        <v>0.302</v>
      </c>
      <c r="E4" s="120">
        <f>I4</f>
        <v>0.3471</v>
      </c>
      <c r="F4" s="121">
        <v>0.4</v>
      </c>
      <c r="G4" s="122">
        <f>(E4-D4) / (F4-D4)</f>
        <v>0.4602040816</v>
      </c>
      <c r="H4" s="9">
        <v>0.343</v>
      </c>
      <c r="I4" s="9">
        <v>0.3471</v>
      </c>
      <c r="J4" s="9"/>
    </row>
    <row r="6">
      <c r="A6" s="14"/>
      <c r="B6" s="1" t="s">
        <v>209</v>
      </c>
      <c r="C6" s="1" t="s">
        <v>336</v>
      </c>
      <c r="D6" s="3"/>
      <c r="E6" s="3" t="str">
        <f>H6</f>
        <v/>
      </c>
      <c r="F6" s="3"/>
      <c r="G6" s="3"/>
      <c r="H6" s="57"/>
      <c r="I6" s="57"/>
      <c r="J6" s="57"/>
    </row>
    <row r="7">
      <c r="A7" s="104"/>
      <c r="B7" s="78" t="s">
        <v>107</v>
      </c>
      <c r="C7" s="5" t="s">
        <v>337</v>
      </c>
      <c r="D7" s="123">
        <v>9.0</v>
      </c>
      <c r="E7" s="124">
        <f t="shared" ref="E7:E8" si="1">I7</f>
        <v>9</v>
      </c>
      <c r="F7" s="123">
        <v>42.0</v>
      </c>
      <c r="G7" s="125">
        <f t="shared" ref="G7:G8" si="2">(E7-D7) / (F7-D7)</f>
        <v>0</v>
      </c>
      <c r="H7" s="10">
        <f t="shared" ref="H7:H8" si="3">9/42</f>
        <v>0.2142857143</v>
      </c>
      <c r="I7" s="123">
        <v>9.0</v>
      </c>
      <c r="J7" s="10"/>
    </row>
    <row r="8">
      <c r="A8" s="104"/>
      <c r="B8" s="78" t="s">
        <v>111</v>
      </c>
      <c r="C8" s="5" t="s">
        <v>338</v>
      </c>
      <c r="D8" s="123">
        <v>9.0</v>
      </c>
      <c r="E8" s="6">
        <f t="shared" si="1"/>
        <v>10</v>
      </c>
      <c r="F8" s="123">
        <v>30.0</v>
      </c>
      <c r="G8" s="125">
        <f t="shared" si="2"/>
        <v>0.04761904762</v>
      </c>
      <c r="H8" s="10">
        <f t="shared" si="3"/>
        <v>0.2142857143</v>
      </c>
      <c r="I8" s="123">
        <v>10.0</v>
      </c>
      <c r="J8" s="10"/>
    </row>
    <row r="9">
      <c r="A9" s="14"/>
      <c r="B9" s="1" t="s">
        <v>216</v>
      </c>
      <c r="C9" s="1" t="s">
        <v>339</v>
      </c>
      <c r="D9" s="3"/>
      <c r="E9" s="3" t="str">
        <f>H9</f>
        <v/>
      </c>
      <c r="F9" s="3"/>
      <c r="G9" s="3"/>
      <c r="H9" s="57"/>
      <c r="I9" s="57"/>
      <c r="J9" s="57"/>
    </row>
    <row r="10">
      <c r="A10" s="22"/>
      <c r="B10" s="25" t="s">
        <v>7</v>
      </c>
      <c r="C10" s="5" t="s">
        <v>340</v>
      </c>
      <c r="D10" s="6">
        <v>95.0</v>
      </c>
      <c r="E10" s="6">
        <f t="shared" ref="E10:E11" si="4">I10</f>
        <v>109</v>
      </c>
      <c r="F10" s="6">
        <v>70.0</v>
      </c>
      <c r="G10" s="125">
        <f t="shared" ref="G10:G11" si="5">(E10-D10) / (F10-D10)</f>
        <v>-0.56</v>
      </c>
      <c r="H10" s="6">
        <v>95.0</v>
      </c>
      <c r="I10" s="6">
        <v>109.0</v>
      </c>
      <c r="J10" s="6"/>
    </row>
    <row r="11">
      <c r="A11" s="22"/>
      <c r="B11" s="25" t="s">
        <v>9</v>
      </c>
      <c r="C11" s="5" t="s">
        <v>341</v>
      </c>
      <c r="D11" s="6">
        <v>228.0</v>
      </c>
      <c r="E11" s="6">
        <f t="shared" si="4"/>
        <v>222</v>
      </c>
      <c r="F11" s="6">
        <v>178.0</v>
      </c>
      <c r="G11" s="125">
        <f t="shared" si="5"/>
        <v>0.12</v>
      </c>
      <c r="H11" s="6">
        <v>228.0</v>
      </c>
      <c r="I11" s="6">
        <v>222.0</v>
      </c>
      <c r="J11" s="6"/>
    </row>
    <row r="12">
      <c r="A12" s="28"/>
      <c r="B12" s="28"/>
      <c r="C12" s="22"/>
      <c r="D12" s="22"/>
      <c r="E12" s="22"/>
      <c r="F12" s="22"/>
      <c r="G12" s="80"/>
      <c r="H12" s="112"/>
    </row>
    <row r="13">
      <c r="A13" s="28"/>
      <c r="B13" s="28"/>
      <c r="C13" s="22"/>
      <c r="D13" s="22"/>
      <c r="E13" s="22"/>
      <c r="F13" s="22"/>
      <c r="G13" s="80"/>
      <c r="H13" s="112"/>
    </row>
    <row r="14">
      <c r="A14" s="28"/>
      <c r="B14" s="28" t="s">
        <v>26</v>
      </c>
      <c r="C14" s="22"/>
      <c r="D14" s="22"/>
      <c r="E14" s="22"/>
      <c r="F14" s="22"/>
      <c r="G14" s="80"/>
      <c r="H14" s="112"/>
    </row>
    <row r="15">
      <c r="C15" s="63" t="s">
        <v>342</v>
      </c>
      <c r="D15" s="22"/>
      <c r="E15" s="22"/>
      <c r="F15" s="22"/>
      <c r="G15" s="80"/>
      <c r="H15" s="112"/>
    </row>
    <row r="16">
      <c r="C16" s="62" t="s">
        <v>343</v>
      </c>
      <c r="D16" s="22"/>
      <c r="E16" s="22"/>
      <c r="F16" s="22"/>
      <c r="G16" s="80"/>
      <c r="H16" s="112"/>
    </row>
    <row r="17">
      <c r="C17" s="62" t="s">
        <v>344</v>
      </c>
      <c r="D17" s="22"/>
      <c r="E17" s="22"/>
      <c r="F17" s="22"/>
      <c r="G17" s="80"/>
      <c r="H17" s="112"/>
    </row>
    <row r="18">
      <c r="A18" s="63"/>
      <c r="B18" s="63"/>
      <c r="C18" s="126" t="s">
        <v>345</v>
      </c>
      <c r="G18" s="24"/>
      <c r="H18" s="113"/>
    </row>
    <row r="19">
      <c r="A19" s="63"/>
      <c r="B19" s="63"/>
      <c r="C19" s="62" t="s">
        <v>346</v>
      </c>
      <c r="G19" s="24"/>
      <c r="H19" s="113"/>
    </row>
    <row r="20">
      <c r="C20" s="62" t="s">
        <v>347</v>
      </c>
      <c r="G20" s="24"/>
      <c r="H20" s="113"/>
    </row>
    <row r="21">
      <c r="A21" s="63"/>
      <c r="B21" s="63"/>
      <c r="C21" s="62" t="s">
        <v>348</v>
      </c>
      <c r="G21" s="24"/>
      <c r="H21" s="113"/>
    </row>
    <row r="22">
      <c r="C22" s="62" t="s">
        <v>349</v>
      </c>
      <c r="G22" s="24"/>
      <c r="H22" s="113"/>
    </row>
    <row r="23">
      <c r="C23" s="63" t="s">
        <v>350</v>
      </c>
      <c r="G23" s="24"/>
      <c r="H23" s="113"/>
    </row>
    <row r="24">
      <c r="A24" s="63"/>
      <c r="B24" s="63"/>
      <c r="C24" s="62" t="s">
        <v>351</v>
      </c>
      <c r="G24" s="24"/>
      <c r="H24" s="113"/>
    </row>
    <row r="25">
      <c r="A25" s="63"/>
      <c r="B25" s="63"/>
      <c r="G25" s="24"/>
      <c r="H25" s="113"/>
    </row>
    <row r="26">
      <c r="G26" s="24"/>
      <c r="H26" s="113"/>
    </row>
    <row r="27">
      <c r="G27" s="24"/>
      <c r="H27" s="113"/>
    </row>
    <row r="28" collapsed="1">
      <c r="G28" s="24"/>
      <c r="H28" s="113"/>
    </row>
    <row r="29" hidden="1" outlineLevel="1" collapsed="1">
      <c r="C29" s="127" t="s">
        <v>352</v>
      </c>
      <c r="H29" s="113"/>
    </row>
    <row r="30" hidden="1" outlineLevel="2">
      <c r="C30" s="93" t="s">
        <v>353</v>
      </c>
      <c r="H30" s="113"/>
    </row>
    <row r="31" ht="75.0" hidden="1" customHeight="1" outlineLevel="2">
      <c r="C31" s="128" t="s">
        <v>354</v>
      </c>
      <c r="H31" s="113"/>
    </row>
    <row r="32" hidden="1" outlineLevel="2">
      <c r="C32" s="127" t="s">
        <v>355</v>
      </c>
      <c r="H32" s="113"/>
    </row>
    <row r="33" hidden="1" outlineLevel="1">
      <c r="C33" s="127" t="s">
        <v>356</v>
      </c>
      <c r="H33" s="113"/>
    </row>
    <row r="34" hidden="1" outlineLevel="1">
      <c r="G34" s="24"/>
      <c r="H34" s="113"/>
    </row>
    <row r="35" hidden="1" outlineLevel="1">
      <c r="G35" s="24"/>
      <c r="H35" s="113"/>
    </row>
    <row r="36" hidden="1" outlineLevel="1">
      <c r="G36" s="24"/>
      <c r="H36" s="113"/>
    </row>
    <row r="37" hidden="1" outlineLevel="1">
      <c r="G37" s="24"/>
      <c r="H37" s="113"/>
    </row>
    <row r="38" hidden="1" outlineLevel="1">
      <c r="A38" s="129"/>
      <c r="B38" s="129"/>
      <c r="G38" s="24"/>
      <c r="H38" s="113"/>
    </row>
    <row r="39" hidden="1" outlineLevel="1">
      <c r="A39" s="63"/>
      <c r="B39" s="63"/>
      <c r="G39" s="24"/>
      <c r="H39" s="113"/>
    </row>
    <row r="40" hidden="1" outlineLevel="1">
      <c r="G40" s="24"/>
      <c r="H40" s="113"/>
    </row>
    <row r="41" hidden="1" outlineLevel="1">
      <c r="G41" s="24"/>
      <c r="H41" s="113"/>
    </row>
    <row r="42" hidden="1" outlineLevel="1">
      <c r="G42" s="24"/>
      <c r="H42" s="113"/>
    </row>
    <row r="43" hidden="1" outlineLevel="1">
      <c r="G43" s="24"/>
      <c r="H43" s="113"/>
    </row>
    <row r="44" hidden="1" outlineLevel="1">
      <c r="G44" s="24"/>
      <c r="H44" s="113"/>
    </row>
    <row r="45" hidden="1" outlineLevel="1">
      <c r="G45" s="24"/>
      <c r="H45" s="113"/>
    </row>
    <row r="46" hidden="1" outlineLevel="1">
      <c r="G46" s="24"/>
      <c r="H46" s="113"/>
    </row>
    <row r="47" hidden="1" outlineLevel="1">
      <c r="G47" s="24"/>
      <c r="H47" s="113"/>
    </row>
    <row r="48" hidden="1" outlineLevel="1">
      <c r="G48" s="24"/>
      <c r="H48" s="113"/>
    </row>
    <row r="49" hidden="1" outlineLevel="1">
      <c r="G49" s="24"/>
      <c r="H49" s="113"/>
    </row>
    <row r="50" hidden="1" outlineLevel="1">
      <c r="G50" s="24"/>
      <c r="H50" s="113"/>
    </row>
    <row r="51" hidden="1" outlineLevel="1">
      <c r="A51" s="62"/>
      <c r="B51" s="62" t="s">
        <v>357</v>
      </c>
      <c r="G51" s="24"/>
      <c r="H51" s="113"/>
    </row>
    <row r="52" hidden="1" outlineLevel="1">
      <c r="A52" s="14"/>
      <c r="B52" s="17" t="s">
        <v>13</v>
      </c>
      <c r="C52" s="1" t="s">
        <v>358</v>
      </c>
      <c r="D52" s="3" t="s">
        <v>2</v>
      </c>
      <c r="E52" s="3" t="s">
        <v>3</v>
      </c>
      <c r="F52" s="3" t="s">
        <v>4</v>
      </c>
      <c r="G52" s="3" t="s">
        <v>5</v>
      </c>
      <c r="H52" s="113"/>
    </row>
    <row r="53" hidden="1" outlineLevel="1">
      <c r="A53" s="22"/>
      <c r="B53" s="25" t="s">
        <v>7</v>
      </c>
      <c r="C53" s="5" t="s">
        <v>359</v>
      </c>
      <c r="D53" s="6">
        <v>11.0</v>
      </c>
      <c r="E53" s="6">
        <v>11.0</v>
      </c>
      <c r="F53" s="6">
        <v>0.0</v>
      </c>
      <c r="G53" s="130">
        <f t="shared" ref="G53:G56" si="6">(E53-D53) / (F53-D53)</f>
        <v>0</v>
      </c>
      <c r="H53" s="113"/>
    </row>
    <row r="54" hidden="1" outlineLevel="1">
      <c r="A54" s="22"/>
      <c r="B54" s="25" t="s">
        <v>9</v>
      </c>
      <c r="C54" s="5" t="s">
        <v>360</v>
      </c>
      <c r="D54" s="6">
        <v>68.0</v>
      </c>
      <c r="E54" s="6">
        <v>68.0</v>
      </c>
      <c r="F54" s="6">
        <v>40.0</v>
      </c>
      <c r="G54" s="130">
        <f t="shared" si="6"/>
        <v>0</v>
      </c>
      <c r="H54" s="113"/>
    </row>
    <row r="55" hidden="1" outlineLevel="1">
      <c r="A55" s="22"/>
      <c r="B55" s="25" t="s">
        <v>11</v>
      </c>
      <c r="C55" s="5" t="s">
        <v>361</v>
      </c>
      <c r="D55" s="6">
        <v>9.0</v>
      </c>
      <c r="E55" s="6">
        <v>9.0</v>
      </c>
      <c r="F55" s="6">
        <v>42.0</v>
      </c>
      <c r="G55" s="130">
        <f t="shared" si="6"/>
        <v>0</v>
      </c>
      <c r="H55" s="113"/>
    </row>
    <row r="56" hidden="1" outlineLevel="1">
      <c r="A56" s="63"/>
      <c r="B56" s="5" t="s">
        <v>18</v>
      </c>
      <c r="C56" s="5" t="s">
        <v>362</v>
      </c>
      <c r="D56" s="6">
        <v>229.0</v>
      </c>
      <c r="E56" s="6">
        <v>229.0</v>
      </c>
      <c r="F56" s="6">
        <v>180.0</v>
      </c>
      <c r="G56" s="130">
        <f t="shared" si="6"/>
        <v>0</v>
      </c>
      <c r="H56" s="113"/>
    </row>
    <row r="57" hidden="1" outlineLevel="1">
      <c r="G57" s="24"/>
      <c r="H57" s="113"/>
    </row>
    <row r="58" hidden="1" outlineLevel="1">
      <c r="G58" s="24"/>
      <c r="H58" s="113"/>
    </row>
    <row r="59" hidden="1" outlineLevel="1">
      <c r="C59" s="62" t="s">
        <v>363</v>
      </c>
      <c r="G59" s="24"/>
      <c r="H59" s="113"/>
    </row>
    <row r="60" hidden="1" outlineLevel="1">
      <c r="G60" s="24"/>
      <c r="H60" s="113"/>
    </row>
    <row r="61" hidden="1" outlineLevel="1">
      <c r="G61" s="24"/>
      <c r="H61" s="113"/>
    </row>
    <row r="62" hidden="1" outlineLevel="1">
      <c r="B62" s="15"/>
      <c r="C62" s="1" t="s">
        <v>209</v>
      </c>
      <c r="D62" s="1" t="s">
        <v>364</v>
      </c>
      <c r="E62" s="3" t="s">
        <v>2</v>
      </c>
      <c r="F62" s="3" t="s">
        <v>3</v>
      </c>
      <c r="G62" s="3" t="s">
        <v>4</v>
      </c>
      <c r="H62" s="3" t="s">
        <v>5</v>
      </c>
      <c r="I62" s="57" t="s">
        <v>332</v>
      </c>
      <c r="J62" s="57" t="s">
        <v>333</v>
      </c>
      <c r="K62" s="57" t="s">
        <v>334</v>
      </c>
    </row>
    <row r="63" hidden="1" outlineLevel="1">
      <c r="B63" s="22"/>
      <c r="C63" s="25" t="s">
        <v>7</v>
      </c>
      <c r="D63" s="5" t="s">
        <v>365</v>
      </c>
      <c r="E63" s="6">
        <v>11.0</v>
      </c>
      <c r="F63" s="6">
        <f t="shared" ref="F63:F64" si="7">J63</f>
        <v>10</v>
      </c>
      <c r="G63" s="6">
        <v>0.0</v>
      </c>
      <c r="H63" s="125">
        <f>(F63-E63) / (G63-E63)</f>
        <v>0.09090909091</v>
      </c>
      <c r="I63" s="6">
        <v>11.0</v>
      </c>
      <c r="J63" s="6">
        <v>10.0</v>
      </c>
      <c r="K63" s="6"/>
    </row>
    <row r="64" hidden="1" outlineLevel="1">
      <c r="B64" s="6">
        <f>I64</f>
        <v>1</v>
      </c>
      <c r="C64" s="25" t="s">
        <v>9</v>
      </c>
      <c r="D64" s="5" t="s">
        <v>366</v>
      </c>
      <c r="E64" s="6">
        <v>1.0</v>
      </c>
      <c r="F64" s="6">
        <f t="shared" si="7"/>
        <v>1</v>
      </c>
      <c r="G64" s="6">
        <v>0.0</v>
      </c>
      <c r="H64" s="125">
        <f>(B64-E64) / (G64-E64)</f>
        <v>0</v>
      </c>
      <c r="I64" s="6">
        <v>1.0</v>
      </c>
      <c r="J64" s="6">
        <v>1.0</v>
      </c>
      <c r="K64" s="6"/>
    </row>
    <row r="65" hidden="1" outlineLevel="1">
      <c r="G65" s="24"/>
      <c r="H65" s="113"/>
    </row>
    <row r="66" hidden="1" outlineLevel="1">
      <c r="G66" s="24"/>
      <c r="H66" s="113"/>
    </row>
    <row r="67">
      <c r="G67" s="24"/>
      <c r="H67" s="113"/>
    </row>
    <row r="68">
      <c r="G68" s="24"/>
      <c r="H68" s="113"/>
    </row>
    <row r="69">
      <c r="G69" s="24"/>
      <c r="H69" s="113"/>
    </row>
    <row r="70">
      <c r="G70" s="24"/>
      <c r="H70" s="113"/>
    </row>
    <row r="71">
      <c r="G71" s="24"/>
      <c r="H71" s="113"/>
    </row>
    <row r="72">
      <c r="G72" s="24"/>
      <c r="H72" s="113"/>
    </row>
    <row r="73">
      <c r="G73" s="24"/>
      <c r="H73" s="113"/>
    </row>
    <row r="74">
      <c r="G74" s="24"/>
      <c r="H74" s="113"/>
    </row>
    <row r="75">
      <c r="G75" s="24"/>
      <c r="H75" s="113"/>
    </row>
    <row r="76">
      <c r="G76" s="24"/>
      <c r="H76" s="113"/>
    </row>
    <row r="77">
      <c r="G77" s="24"/>
      <c r="H77" s="113"/>
    </row>
    <row r="78">
      <c r="G78" s="24"/>
      <c r="H78" s="113"/>
    </row>
    <row r="79">
      <c r="G79" s="24"/>
      <c r="H79" s="113"/>
    </row>
    <row r="80">
      <c r="G80" s="24"/>
      <c r="H80" s="113"/>
    </row>
    <row r="81">
      <c r="G81" s="24"/>
      <c r="H81" s="113"/>
    </row>
    <row r="82">
      <c r="G82" s="24"/>
      <c r="H82" s="113"/>
    </row>
    <row r="83">
      <c r="G83" s="24"/>
      <c r="H83" s="113"/>
    </row>
    <row r="84">
      <c r="G84" s="24"/>
      <c r="H84" s="113"/>
    </row>
    <row r="85">
      <c r="G85" s="24"/>
      <c r="H85" s="113"/>
    </row>
    <row r="86">
      <c r="G86" s="24"/>
      <c r="H86" s="113"/>
    </row>
    <row r="87">
      <c r="G87" s="24"/>
      <c r="H87" s="113"/>
    </row>
    <row r="88">
      <c r="G88" s="24"/>
      <c r="H88" s="113"/>
    </row>
    <row r="89">
      <c r="G89" s="24"/>
      <c r="H89" s="113"/>
    </row>
    <row r="90">
      <c r="G90" s="24"/>
      <c r="H90" s="113"/>
    </row>
    <row r="91">
      <c r="G91" s="24"/>
      <c r="H91" s="113"/>
    </row>
    <row r="92">
      <c r="G92" s="24"/>
      <c r="H92" s="113"/>
    </row>
    <row r="93">
      <c r="G93" s="24"/>
      <c r="H93" s="113"/>
    </row>
    <row r="94">
      <c r="G94" s="24"/>
      <c r="H94" s="113"/>
    </row>
    <row r="95">
      <c r="G95" s="24"/>
      <c r="H95" s="113"/>
    </row>
    <row r="96">
      <c r="G96" s="24"/>
      <c r="H96" s="113"/>
    </row>
    <row r="97">
      <c r="G97" s="24"/>
      <c r="H97" s="113"/>
    </row>
    <row r="98">
      <c r="G98" s="24"/>
      <c r="H98" s="113"/>
    </row>
    <row r="99">
      <c r="G99" s="24"/>
      <c r="H99" s="113"/>
    </row>
    <row r="100">
      <c r="G100" s="24"/>
      <c r="H100" s="113"/>
    </row>
    <row r="101">
      <c r="G101" s="24"/>
      <c r="H101" s="113"/>
    </row>
    <row r="102">
      <c r="G102" s="24"/>
      <c r="H102" s="113"/>
    </row>
    <row r="103">
      <c r="G103" s="24"/>
      <c r="H103" s="113"/>
    </row>
    <row r="104">
      <c r="G104" s="24"/>
      <c r="H104" s="113"/>
    </row>
    <row r="105">
      <c r="G105" s="24"/>
      <c r="H105" s="113"/>
    </row>
    <row r="106">
      <c r="G106" s="24"/>
      <c r="H106" s="113"/>
    </row>
    <row r="107">
      <c r="G107" s="24"/>
      <c r="H107" s="113"/>
    </row>
    <row r="108">
      <c r="G108" s="24"/>
      <c r="H108" s="113"/>
    </row>
    <row r="109">
      <c r="G109" s="24"/>
      <c r="H109" s="113"/>
    </row>
    <row r="110">
      <c r="G110" s="24"/>
      <c r="H110" s="113"/>
    </row>
    <row r="111">
      <c r="G111" s="24"/>
      <c r="H111" s="113"/>
    </row>
    <row r="112">
      <c r="G112" s="24"/>
      <c r="H112" s="113"/>
    </row>
    <row r="113">
      <c r="G113" s="24"/>
      <c r="H113" s="113"/>
    </row>
    <row r="114">
      <c r="G114" s="24"/>
      <c r="H114" s="113"/>
    </row>
    <row r="115">
      <c r="G115" s="24"/>
      <c r="H115" s="113"/>
    </row>
    <row r="116">
      <c r="G116" s="24"/>
      <c r="H116" s="113"/>
    </row>
    <row r="117">
      <c r="G117" s="24"/>
      <c r="H117" s="113"/>
    </row>
    <row r="118">
      <c r="G118" s="24"/>
      <c r="H118" s="113"/>
    </row>
    <row r="119">
      <c r="G119" s="24"/>
      <c r="H119" s="113"/>
    </row>
    <row r="120">
      <c r="G120" s="24"/>
      <c r="H120" s="113"/>
    </row>
    <row r="121">
      <c r="G121" s="24"/>
      <c r="H121" s="113"/>
    </row>
    <row r="122">
      <c r="G122" s="24"/>
      <c r="H122" s="113"/>
    </row>
    <row r="123">
      <c r="G123" s="24"/>
      <c r="H123" s="113"/>
    </row>
    <row r="124">
      <c r="G124" s="24"/>
      <c r="H124" s="113"/>
    </row>
    <row r="125">
      <c r="G125" s="24"/>
      <c r="H125" s="113"/>
    </row>
    <row r="126">
      <c r="G126" s="24"/>
      <c r="H126" s="113"/>
    </row>
    <row r="127">
      <c r="G127" s="24"/>
      <c r="H127" s="113"/>
    </row>
    <row r="128">
      <c r="G128" s="24"/>
      <c r="H128" s="113"/>
    </row>
    <row r="129">
      <c r="G129" s="24"/>
      <c r="H129" s="113"/>
    </row>
    <row r="130">
      <c r="G130" s="24"/>
      <c r="H130" s="113"/>
    </row>
    <row r="131">
      <c r="G131" s="24"/>
      <c r="H131" s="113"/>
    </row>
    <row r="132">
      <c r="G132" s="24"/>
      <c r="H132" s="113"/>
    </row>
    <row r="133">
      <c r="G133" s="24"/>
      <c r="H133" s="113"/>
    </row>
    <row r="134">
      <c r="G134" s="24"/>
      <c r="H134" s="113"/>
    </row>
    <row r="135">
      <c r="G135" s="24"/>
      <c r="H135" s="113"/>
    </row>
    <row r="136">
      <c r="G136" s="24"/>
      <c r="H136" s="113"/>
    </row>
    <row r="137">
      <c r="G137" s="24"/>
      <c r="H137" s="113"/>
    </row>
    <row r="138">
      <c r="G138" s="24"/>
      <c r="H138" s="113"/>
    </row>
    <row r="139">
      <c r="G139" s="24"/>
      <c r="H139" s="113"/>
    </row>
    <row r="140">
      <c r="G140" s="24"/>
      <c r="H140" s="113"/>
    </row>
    <row r="141">
      <c r="G141" s="24"/>
      <c r="H141" s="113"/>
    </row>
    <row r="142">
      <c r="G142" s="24"/>
      <c r="H142" s="113"/>
    </row>
    <row r="143">
      <c r="G143" s="24"/>
      <c r="H143" s="113"/>
    </row>
    <row r="144">
      <c r="G144" s="24"/>
      <c r="H144" s="113"/>
    </row>
    <row r="145">
      <c r="G145" s="24"/>
      <c r="H145" s="113"/>
    </row>
    <row r="146">
      <c r="G146" s="24"/>
      <c r="H146" s="113"/>
    </row>
    <row r="147">
      <c r="G147" s="24"/>
      <c r="H147" s="113"/>
    </row>
    <row r="148">
      <c r="G148" s="24"/>
      <c r="H148" s="113"/>
    </row>
    <row r="149">
      <c r="G149" s="24"/>
      <c r="H149" s="113"/>
    </row>
    <row r="150">
      <c r="G150" s="24"/>
      <c r="H150" s="113"/>
    </row>
    <row r="151">
      <c r="G151" s="24"/>
      <c r="H151" s="113"/>
    </row>
    <row r="152">
      <c r="G152" s="24"/>
      <c r="H152" s="113"/>
    </row>
    <row r="153">
      <c r="G153" s="24"/>
      <c r="H153" s="113"/>
    </row>
    <row r="154">
      <c r="G154" s="24"/>
      <c r="H154" s="113"/>
    </row>
    <row r="155">
      <c r="G155" s="24"/>
      <c r="H155" s="113"/>
    </row>
    <row r="156">
      <c r="G156" s="24"/>
      <c r="H156" s="113"/>
    </row>
    <row r="157">
      <c r="G157" s="24"/>
      <c r="H157" s="113"/>
    </row>
    <row r="158">
      <c r="G158" s="24"/>
      <c r="H158" s="113"/>
    </row>
    <row r="159">
      <c r="G159" s="24"/>
      <c r="H159" s="113"/>
    </row>
    <row r="160">
      <c r="G160" s="24"/>
      <c r="H160" s="113"/>
    </row>
    <row r="161">
      <c r="G161" s="24"/>
      <c r="H161" s="113"/>
    </row>
    <row r="162">
      <c r="G162" s="24"/>
      <c r="H162" s="113"/>
    </row>
    <row r="163">
      <c r="G163" s="24"/>
      <c r="H163" s="113"/>
    </row>
    <row r="164">
      <c r="G164" s="24"/>
      <c r="H164" s="113"/>
    </row>
    <row r="165">
      <c r="G165" s="24"/>
      <c r="H165" s="113"/>
    </row>
    <row r="166">
      <c r="G166" s="24"/>
      <c r="H166" s="113"/>
    </row>
    <row r="167">
      <c r="G167" s="24"/>
      <c r="H167" s="113"/>
    </row>
    <row r="168">
      <c r="G168" s="24"/>
      <c r="H168" s="113"/>
    </row>
    <row r="169">
      <c r="G169" s="24"/>
      <c r="H169" s="113"/>
    </row>
    <row r="170">
      <c r="G170" s="24"/>
      <c r="H170" s="113"/>
    </row>
    <row r="171">
      <c r="G171" s="24"/>
      <c r="H171" s="113"/>
    </row>
    <row r="172">
      <c r="G172" s="24"/>
      <c r="H172" s="113"/>
    </row>
    <row r="173">
      <c r="G173" s="24"/>
      <c r="H173" s="113"/>
    </row>
    <row r="174">
      <c r="G174" s="24"/>
      <c r="H174" s="113"/>
    </row>
    <row r="175">
      <c r="G175" s="24"/>
      <c r="H175" s="113"/>
    </row>
    <row r="176">
      <c r="G176" s="24"/>
      <c r="H176" s="113"/>
    </row>
    <row r="177">
      <c r="G177" s="24"/>
      <c r="H177" s="113"/>
    </row>
    <row r="178">
      <c r="G178" s="24"/>
      <c r="H178" s="113"/>
    </row>
    <row r="179">
      <c r="G179" s="24"/>
      <c r="H179" s="113"/>
    </row>
    <row r="180">
      <c r="G180" s="24"/>
      <c r="H180" s="113"/>
    </row>
    <row r="181">
      <c r="G181" s="24"/>
      <c r="H181" s="113"/>
    </row>
    <row r="182">
      <c r="G182" s="24"/>
      <c r="H182" s="113"/>
    </row>
    <row r="183">
      <c r="G183" s="24"/>
      <c r="H183" s="113"/>
    </row>
    <row r="184">
      <c r="G184" s="24"/>
      <c r="H184" s="113"/>
    </row>
    <row r="185">
      <c r="G185" s="24"/>
      <c r="H185" s="113"/>
    </row>
    <row r="186">
      <c r="G186" s="24"/>
      <c r="H186" s="113"/>
    </row>
    <row r="187">
      <c r="G187" s="24"/>
      <c r="H187" s="113"/>
    </row>
    <row r="188">
      <c r="G188" s="24"/>
      <c r="H188" s="113"/>
    </row>
    <row r="189">
      <c r="G189" s="24"/>
      <c r="H189" s="113"/>
    </row>
    <row r="190">
      <c r="G190" s="24"/>
      <c r="H190" s="113"/>
    </row>
    <row r="191">
      <c r="G191" s="24"/>
      <c r="H191" s="113"/>
    </row>
    <row r="192">
      <c r="G192" s="24"/>
      <c r="H192" s="113"/>
    </row>
    <row r="193">
      <c r="G193" s="24"/>
      <c r="H193" s="113"/>
    </row>
    <row r="194">
      <c r="G194" s="24"/>
      <c r="H194" s="113"/>
    </row>
    <row r="195">
      <c r="G195" s="24"/>
      <c r="H195" s="113"/>
    </row>
    <row r="196">
      <c r="G196" s="24"/>
      <c r="H196" s="113"/>
    </row>
    <row r="197">
      <c r="G197" s="24"/>
      <c r="H197" s="113"/>
    </row>
    <row r="198">
      <c r="G198" s="24"/>
      <c r="H198" s="113"/>
    </row>
    <row r="199">
      <c r="G199" s="24"/>
      <c r="H199" s="113"/>
    </row>
    <row r="200">
      <c r="G200" s="24"/>
      <c r="H200" s="113"/>
    </row>
    <row r="201">
      <c r="G201" s="24"/>
      <c r="H201" s="113"/>
    </row>
    <row r="202">
      <c r="G202" s="24"/>
      <c r="H202" s="113"/>
    </row>
    <row r="203">
      <c r="G203" s="24"/>
      <c r="H203" s="113"/>
    </row>
    <row r="204">
      <c r="G204" s="24"/>
      <c r="H204" s="113"/>
    </row>
    <row r="205">
      <c r="G205" s="24"/>
      <c r="H205" s="113"/>
    </row>
    <row r="206">
      <c r="G206" s="24"/>
      <c r="H206" s="113"/>
    </row>
    <row r="207">
      <c r="G207" s="24"/>
      <c r="H207" s="113"/>
    </row>
    <row r="208">
      <c r="G208" s="24"/>
      <c r="H208" s="113"/>
    </row>
    <row r="209">
      <c r="G209" s="24"/>
      <c r="H209" s="113"/>
    </row>
    <row r="210">
      <c r="G210" s="24"/>
      <c r="H210" s="113"/>
    </row>
    <row r="211">
      <c r="G211" s="24"/>
      <c r="H211" s="113"/>
    </row>
    <row r="212">
      <c r="G212" s="24"/>
      <c r="H212" s="113"/>
    </row>
    <row r="213">
      <c r="G213" s="24"/>
      <c r="H213" s="113"/>
    </row>
    <row r="214">
      <c r="G214" s="24"/>
      <c r="H214" s="113"/>
    </row>
    <row r="215">
      <c r="G215" s="24"/>
      <c r="H215" s="113"/>
    </row>
    <row r="216">
      <c r="G216" s="24"/>
      <c r="H216" s="113"/>
    </row>
    <row r="217">
      <c r="G217" s="24"/>
      <c r="H217" s="113"/>
    </row>
    <row r="218">
      <c r="G218" s="24"/>
      <c r="H218" s="113"/>
    </row>
    <row r="219">
      <c r="G219" s="24"/>
      <c r="H219" s="113"/>
    </row>
    <row r="220">
      <c r="G220" s="24"/>
      <c r="H220" s="113"/>
    </row>
    <row r="221">
      <c r="G221" s="24"/>
      <c r="H221" s="113"/>
    </row>
    <row r="222">
      <c r="G222" s="24"/>
      <c r="H222" s="113"/>
    </row>
    <row r="223">
      <c r="G223" s="24"/>
      <c r="H223" s="113"/>
    </row>
    <row r="224">
      <c r="G224" s="24"/>
      <c r="H224" s="113"/>
    </row>
    <row r="225">
      <c r="G225" s="24"/>
      <c r="H225" s="113"/>
    </row>
    <row r="226">
      <c r="G226" s="24"/>
      <c r="H226" s="113"/>
    </row>
    <row r="227">
      <c r="G227" s="24"/>
      <c r="H227" s="113"/>
    </row>
    <row r="228">
      <c r="G228" s="24"/>
      <c r="H228" s="113"/>
    </row>
    <row r="229">
      <c r="G229" s="24"/>
      <c r="H229" s="113"/>
    </row>
    <row r="230">
      <c r="G230" s="24"/>
      <c r="H230" s="113"/>
    </row>
    <row r="231">
      <c r="G231" s="24"/>
      <c r="H231" s="113"/>
    </row>
    <row r="232">
      <c r="G232" s="24"/>
      <c r="H232" s="113"/>
    </row>
    <row r="233">
      <c r="G233" s="24"/>
      <c r="H233" s="113"/>
    </row>
    <row r="234">
      <c r="G234" s="24"/>
      <c r="H234" s="113"/>
    </row>
    <row r="235">
      <c r="G235" s="24"/>
      <c r="H235" s="113"/>
    </row>
    <row r="236">
      <c r="G236" s="24"/>
      <c r="H236" s="113"/>
    </row>
    <row r="237">
      <c r="G237" s="24"/>
      <c r="H237" s="113"/>
    </row>
    <row r="238">
      <c r="G238" s="24"/>
      <c r="H238" s="113"/>
    </row>
    <row r="239">
      <c r="G239" s="24"/>
      <c r="H239" s="113"/>
    </row>
    <row r="240">
      <c r="G240" s="24"/>
      <c r="H240" s="113"/>
    </row>
    <row r="241">
      <c r="G241" s="24"/>
      <c r="H241" s="113"/>
    </row>
    <row r="242">
      <c r="G242" s="24"/>
      <c r="H242" s="113"/>
    </row>
    <row r="243">
      <c r="G243" s="24"/>
      <c r="H243" s="113"/>
    </row>
    <row r="244">
      <c r="G244" s="24"/>
      <c r="H244" s="113"/>
    </row>
    <row r="245">
      <c r="G245" s="24"/>
      <c r="H245" s="113"/>
    </row>
    <row r="246">
      <c r="G246" s="24"/>
      <c r="H246" s="113"/>
    </row>
    <row r="247">
      <c r="G247" s="24"/>
      <c r="H247" s="113"/>
    </row>
    <row r="248">
      <c r="G248" s="24"/>
      <c r="H248" s="113"/>
    </row>
    <row r="249">
      <c r="G249" s="24"/>
      <c r="H249" s="113"/>
    </row>
    <row r="250">
      <c r="G250" s="24"/>
      <c r="H250" s="113"/>
    </row>
    <row r="251">
      <c r="G251" s="24"/>
      <c r="H251" s="113"/>
    </row>
    <row r="252">
      <c r="G252" s="24"/>
      <c r="H252" s="113"/>
    </row>
    <row r="253">
      <c r="G253" s="24"/>
      <c r="H253" s="113"/>
    </row>
    <row r="254">
      <c r="G254" s="24"/>
      <c r="H254" s="113"/>
    </row>
    <row r="255">
      <c r="G255" s="24"/>
      <c r="H255" s="113"/>
    </row>
    <row r="256">
      <c r="G256" s="24"/>
      <c r="H256" s="113"/>
    </row>
    <row r="257">
      <c r="G257" s="24"/>
      <c r="H257" s="113"/>
    </row>
    <row r="258">
      <c r="G258" s="24"/>
      <c r="H258" s="113"/>
    </row>
    <row r="259">
      <c r="G259" s="24"/>
      <c r="H259" s="113"/>
    </row>
    <row r="260">
      <c r="G260" s="24"/>
      <c r="H260" s="113"/>
    </row>
    <row r="261">
      <c r="G261" s="24"/>
      <c r="H261" s="113"/>
    </row>
    <row r="262">
      <c r="G262" s="24"/>
      <c r="H262" s="113"/>
    </row>
    <row r="263">
      <c r="G263" s="24"/>
      <c r="H263" s="113"/>
    </row>
    <row r="264">
      <c r="G264" s="24"/>
      <c r="H264" s="113"/>
    </row>
    <row r="265">
      <c r="G265" s="24"/>
      <c r="H265" s="113"/>
    </row>
    <row r="266">
      <c r="G266" s="24"/>
      <c r="H266" s="113"/>
    </row>
    <row r="267">
      <c r="G267" s="24"/>
      <c r="H267" s="113"/>
    </row>
    <row r="268">
      <c r="G268" s="24"/>
      <c r="H268" s="113"/>
    </row>
    <row r="269">
      <c r="G269" s="24"/>
      <c r="H269" s="113"/>
    </row>
    <row r="270">
      <c r="G270" s="24"/>
      <c r="H270" s="113"/>
    </row>
    <row r="271">
      <c r="G271" s="24"/>
      <c r="H271" s="113"/>
    </row>
    <row r="272">
      <c r="G272" s="24"/>
      <c r="H272" s="113"/>
    </row>
    <row r="273">
      <c r="G273" s="24"/>
      <c r="H273" s="113"/>
    </row>
    <row r="274">
      <c r="G274" s="24"/>
      <c r="H274" s="113"/>
    </row>
    <row r="275">
      <c r="G275" s="24"/>
      <c r="H275" s="113"/>
    </row>
    <row r="276">
      <c r="G276" s="24"/>
      <c r="H276" s="113"/>
    </row>
    <row r="277">
      <c r="G277" s="24"/>
      <c r="H277" s="113"/>
    </row>
    <row r="278">
      <c r="G278" s="24"/>
      <c r="H278" s="113"/>
    </row>
    <row r="279">
      <c r="G279" s="24"/>
      <c r="H279" s="113"/>
    </row>
    <row r="280">
      <c r="G280" s="24"/>
      <c r="H280" s="113"/>
    </row>
    <row r="281">
      <c r="G281" s="24"/>
      <c r="H281" s="113"/>
    </row>
    <row r="282">
      <c r="G282" s="24"/>
      <c r="H282" s="113"/>
    </row>
    <row r="283">
      <c r="G283" s="24"/>
      <c r="H283" s="113"/>
    </row>
    <row r="284">
      <c r="G284" s="24"/>
      <c r="H284" s="113"/>
    </row>
    <row r="285">
      <c r="G285" s="24"/>
      <c r="H285" s="113"/>
    </row>
    <row r="286">
      <c r="G286" s="24"/>
      <c r="H286" s="113"/>
    </row>
    <row r="287">
      <c r="G287" s="24"/>
      <c r="H287" s="113"/>
    </row>
    <row r="288">
      <c r="G288" s="24"/>
      <c r="H288" s="113"/>
    </row>
    <row r="289">
      <c r="G289" s="24"/>
      <c r="H289" s="113"/>
    </row>
    <row r="290">
      <c r="G290" s="24"/>
      <c r="H290" s="113"/>
    </row>
    <row r="291">
      <c r="G291" s="24"/>
      <c r="H291" s="113"/>
    </row>
    <row r="292">
      <c r="G292" s="24"/>
      <c r="H292" s="113"/>
    </row>
    <row r="293">
      <c r="G293" s="24"/>
      <c r="H293" s="113"/>
    </row>
    <row r="294">
      <c r="G294" s="24"/>
      <c r="H294" s="113"/>
    </row>
    <row r="295">
      <c r="G295" s="24"/>
      <c r="H295" s="113"/>
    </row>
    <row r="296">
      <c r="G296" s="24"/>
      <c r="H296" s="113"/>
    </row>
    <row r="297">
      <c r="G297" s="24"/>
      <c r="H297" s="113"/>
    </row>
    <row r="298">
      <c r="G298" s="24"/>
      <c r="H298" s="113"/>
    </row>
    <row r="299">
      <c r="G299" s="24"/>
      <c r="H299" s="113"/>
    </row>
    <row r="300">
      <c r="G300" s="24"/>
      <c r="H300" s="113"/>
    </row>
    <row r="301">
      <c r="G301" s="24"/>
      <c r="H301" s="113"/>
    </row>
    <row r="302">
      <c r="G302" s="24"/>
      <c r="H302" s="113"/>
    </row>
    <row r="303">
      <c r="G303" s="24"/>
      <c r="H303" s="113"/>
    </row>
    <row r="304">
      <c r="G304" s="24"/>
      <c r="H304" s="113"/>
    </row>
    <row r="305">
      <c r="G305" s="24"/>
      <c r="H305" s="113"/>
    </row>
    <row r="306">
      <c r="G306" s="24"/>
      <c r="H306" s="113"/>
    </row>
    <row r="307">
      <c r="G307" s="24"/>
      <c r="H307" s="113"/>
    </row>
    <row r="308">
      <c r="G308" s="24"/>
      <c r="H308" s="113"/>
    </row>
    <row r="309">
      <c r="G309" s="24"/>
      <c r="H309" s="113"/>
    </row>
    <row r="310">
      <c r="G310" s="24"/>
      <c r="H310" s="113"/>
    </row>
    <row r="311">
      <c r="G311" s="24"/>
      <c r="H311" s="113"/>
    </row>
    <row r="312">
      <c r="G312" s="24"/>
      <c r="H312" s="113"/>
    </row>
    <row r="313">
      <c r="G313" s="24"/>
      <c r="H313" s="113"/>
    </row>
    <row r="314">
      <c r="G314" s="24"/>
      <c r="H314" s="113"/>
    </row>
    <row r="315">
      <c r="G315" s="24"/>
      <c r="H315" s="113"/>
    </row>
    <row r="316">
      <c r="G316" s="24"/>
      <c r="H316" s="113"/>
    </row>
    <row r="317">
      <c r="G317" s="24"/>
      <c r="H317" s="113"/>
    </row>
    <row r="318">
      <c r="G318" s="24"/>
      <c r="H318" s="113"/>
    </row>
    <row r="319">
      <c r="G319" s="24"/>
      <c r="H319" s="113"/>
    </row>
    <row r="320">
      <c r="G320" s="24"/>
      <c r="H320" s="113"/>
    </row>
    <row r="321">
      <c r="G321" s="24"/>
      <c r="H321" s="113"/>
    </row>
    <row r="322">
      <c r="G322" s="24"/>
      <c r="H322" s="113"/>
    </row>
    <row r="323">
      <c r="G323" s="24"/>
      <c r="H323" s="113"/>
    </row>
    <row r="324">
      <c r="G324" s="24"/>
      <c r="H324" s="113"/>
    </row>
    <row r="325">
      <c r="G325" s="24"/>
      <c r="H325" s="113"/>
    </row>
    <row r="326">
      <c r="G326" s="24"/>
      <c r="H326" s="113"/>
    </row>
    <row r="327">
      <c r="G327" s="24"/>
      <c r="H327" s="113"/>
    </row>
    <row r="328">
      <c r="G328" s="24"/>
      <c r="H328" s="113"/>
    </row>
    <row r="329">
      <c r="G329" s="24"/>
      <c r="H329" s="113"/>
    </row>
    <row r="330">
      <c r="G330" s="24"/>
      <c r="H330" s="113"/>
    </row>
    <row r="331">
      <c r="G331" s="24"/>
      <c r="H331" s="113"/>
    </row>
    <row r="332">
      <c r="G332" s="24"/>
      <c r="H332" s="113"/>
    </row>
    <row r="333">
      <c r="G333" s="24"/>
      <c r="H333" s="113"/>
    </row>
    <row r="334">
      <c r="G334" s="24"/>
      <c r="H334" s="113"/>
    </row>
    <row r="335">
      <c r="G335" s="24"/>
      <c r="H335" s="113"/>
    </row>
    <row r="336">
      <c r="G336" s="24"/>
      <c r="H336" s="113"/>
    </row>
    <row r="337">
      <c r="G337" s="24"/>
      <c r="H337" s="113"/>
    </row>
    <row r="338">
      <c r="G338" s="24"/>
      <c r="H338" s="113"/>
    </row>
    <row r="339">
      <c r="G339" s="24"/>
      <c r="H339" s="113"/>
    </row>
    <row r="340">
      <c r="G340" s="24"/>
      <c r="H340" s="113"/>
    </row>
    <row r="341">
      <c r="G341" s="24"/>
      <c r="H341" s="113"/>
    </row>
    <row r="342">
      <c r="G342" s="24"/>
      <c r="H342" s="113"/>
    </row>
    <row r="343">
      <c r="G343" s="24"/>
      <c r="H343" s="113"/>
    </row>
    <row r="344">
      <c r="G344" s="24"/>
      <c r="H344" s="113"/>
    </row>
    <row r="345">
      <c r="G345" s="24"/>
      <c r="H345" s="113"/>
    </row>
    <row r="346">
      <c r="G346" s="24"/>
      <c r="H346" s="113"/>
    </row>
    <row r="347">
      <c r="G347" s="24"/>
      <c r="H347" s="113"/>
    </row>
    <row r="348">
      <c r="G348" s="24"/>
      <c r="H348" s="113"/>
    </row>
    <row r="349">
      <c r="G349" s="24"/>
      <c r="H349" s="113"/>
    </row>
    <row r="350">
      <c r="G350" s="24"/>
      <c r="H350" s="113"/>
    </row>
    <row r="351">
      <c r="G351" s="24"/>
      <c r="H351" s="113"/>
    </row>
    <row r="352">
      <c r="G352" s="24"/>
      <c r="H352" s="113"/>
    </row>
    <row r="353">
      <c r="G353" s="24"/>
      <c r="H353" s="113"/>
    </row>
    <row r="354">
      <c r="G354" s="24"/>
      <c r="H354" s="113"/>
    </row>
    <row r="355">
      <c r="G355" s="24"/>
      <c r="H355" s="113"/>
    </row>
    <row r="356">
      <c r="G356" s="24"/>
      <c r="H356" s="113"/>
    </row>
    <row r="357">
      <c r="G357" s="24"/>
      <c r="H357" s="113"/>
    </row>
    <row r="358">
      <c r="G358" s="24"/>
      <c r="H358" s="113"/>
    </row>
    <row r="359">
      <c r="G359" s="24"/>
      <c r="H359" s="113"/>
    </row>
    <row r="360">
      <c r="G360" s="24"/>
      <c r="H360" s="113"/>
    </row>
    <row r="361">
      <c r="G361" s="24"/>
      <c r="H361" s="113"/>
    </row>
    <row r="362">
      <c r="G362" s="24"/>
      <c r="H362" s="113"/>
    </row>
    <row r="363">
      <c r="G363" s="24"/>
      <c r="H363" s="113"/>
    </row>
    <row r="364">
      <c r="G364" s="24"/>
      <c r="H364" s="113"/>
    </row>
    <row r="365">
      <c r="G365" s="24"/>
      <c r="H365" s="113"/>
    </row>
    <row r="366">
      <c r="G366" s="24"/>
      <c r="H366" s="113"/>
    </row>
    <row r="367">
      <c r="G367" s="24"/>
      <c r="H367" s="113"/>
    </row>
    <row r="368">
      <c r="G368" s="24"/>
      <c r="H368" s="113"/>
    </row>
    <row r="369">
      <c r="G369" s="24"/>
      <c r="H369" s="113"/>
    </row>
    <row r="370">
      <c r="G370" s="24"/>
      <c r="H370" s="113"/>
    </row>
    <row r="371">
      <c r="G371" s="24"/>
      <c r="H371" s="113"/>
    </row>
    <row r="372">
      <c r="G372" s="24"/>
      <c r="H372" s="113"/>
    </row>
    <row r="373">
      <c r="G373" s="24"/>
      <c r="H373" s="113"/>
    </row>
    <row r="374">
      <c r="G374" s="24"/>
      <c r="H374" s="113"/>
    </row>
    <row r="375">
      <c r="G375" s="24"/>
      <c r="H375" s="113"/>
    </row>
    <row r="376">
      <c r="G376" s="24"/>
      <c r="H376" s="113"/>
    </row>
    <row r="377">
      <c r="G377" s="24"/>
      <c r="H377" s="113"/>
    </row>
    <row r="378">
      <c r="G378" s="24"/>
      <c r="H378" s="113"/>
    </row>
    <row r="379">
      <c r="G379" s="24"/>
      <c r="H379" s="113"/>
    </row>
    <row r="380">
      <c r="G380" s="24"/>
      <c r="H380" s="113"/>
    </row>
    <row r="381">
      <c r="G381" s="24"/>
      <c r="H381" s="113"/>
    </row>
    <row r="382">
      <c r="G382" s="24"/>
      <c r="H382" s="113"/>
    </row>
    <row r="383">
      <c r="G383" s="24"/>
      <c r="H383" s="113"/>
    </row>
    <row r="384">
      <c r="G384" s="24"/>
      <c r="H384" s="113"/>
    </row>
    <row r="385">
      <c r="G385" s="24"/>
      <c r="H385" s="113"/>
    </row>
    <row r="386">
      <c r="G386" s="24"/>
      <c r="H386" s="113"/>
    </row>
    <row r="387">
      <c r="G387" s="24"/>
      <c r="H387" s="113"/>
    </row>
    <row r="388">
      <c r="G388" s="24"/>
      <c r="H388" s="113"/>
    </row>
    <row r="389">
      <c r="G389" s="24"/>
      <c r="H389" s="113"/>
    </row>
    <row r="390">
      <c r="G390" s="24"/>
      <c r="H390" s="113"/>
    </row>
    <row r="391">
      <c r="G391" s="24"/>
      <c r="H391" s="113"/>
    </row>
    <row r="392">
      <c r="G392" s="24"/>
      <c r="H392" s="113"/>
    </row>
    <row r="393">
      <c r="G393" s="24"/>
      <c r="H393" s="113"/>
    </row>
    <row r="394">
      <c r="G394" s="24"/>
      <c r="H394" s="113"/>
    </row>
    <row r="395">
      <c r="G395" s="24"/>
      <c r="H395" s="113"/>
    </row>
    <row r="396">
      <c r="G396" s="24"/>
      <c r="H396" s="113"/>
    </row>
    <row r="397">
      <c r="G397" s="24"/>
      <c r="H397" s="113"/>
    </row>
    <row r="398">
      <c r="G398" s="24"/>
      <c r="H398" s="113"/>
    </row>
    <row r="399">
      <c r="G399" s="24"/>
      <c r="H399" s="113"/>
    </row>
    <row r="400">
      <c r="G400" s="24"/>
      <c r="H400" s="113"/>
    </row>
    <row r="401">
      <c r="G401" s="24"/>
      <c r="H401" s="113"/>
    </row>
    <row r="402">
      <c r="G402" s="24"/>
      <c r="H402" s="113"/>
    </row>
    <row r="403">
      <c r="G403" s="24"/>
      <c r="H403" s="113"/>
    </row>
    <row r="404">
      <c r="G404" s="24"/>
      <c r="H404" s="113"/>
    </row>
    <row r="405">
      <c r="G405" s="24"/>
      <c r="H405" s="113"/>
    </row>
    <row r="406">
      <c r="G406" s="24"/>
      <c r="H406" s="113"/>
    </row>
    <row r="407">
      <c r="G407" s="24"/>
      <c r="H407" s="113"/>
    </row>
    <row r="408">
      <c r="G408" s="24"/>
      <c r="H408" s="113"/>
    </row>
    <row r="409">
      <c r="G409" s="24"/>
      <c r="H409" s="113"/>
    </row>
    <row r="410">
      <c r="G410" s="24"/>
      <c r="H410" s="113"/>
    </row>
    <row r="411">
      <c r="G411" s="24"/>
      <c r="H411" s="113"/>
    </row>
    <row r="412">
      <c r="G412" s="24"/>
      <c r="H412" s="113"/>
    </row>
    <row r="413">
      <c r="G413" s="24"/>
      <c r="H413" s="113"/>
    </row>
    <row r="414">
      <c r="G414" s="24"/>
      <c r="H414" s="113"/>
    </row>
    <row r="415">
      <c r="G415" s="24"/>
      <c r="H415" s="113"/>
    </row>
    <row r="416">
      <c r="G416" s="24"/>
      <c r="H416" s="113"/>
    </row>
    <row r="417">
      <c r="G417" s="24"/>
      <c r="H417" s="113"/>
    </row>
    <row r="418">
      <c r="G418" s="24"/>
      <c r="H418" s="113"/>
    </row>
    <row r="419">
      <c r="G419" s="24"/>
      <c r="H419" s="113"/>
    </row>
    <row r="420">
      <c r="G420" s="24"/>
      <c r="H420" s="113"/>
    </row>
    <row r="421">
      <c r="G421" s="24"/>
      <c r="H421" s="113"/>
    </row>
    <row r="422">
      <c r="G422" s="24"/>
      <c r="H422" s="113"/>
    </row>
    <row r="423">
      <c r="G423" s="24"/>
      <c r="H423" s="113"/>
    </row>
    <row r="424">
      <c r="G424" s="24"/>
      <c r="H424" s="113"/>
    </row>
    <row r="425">
      <c r="G425" s="24"/>
      <c r="H425" s="113"/>
    </row>
    <row r="426">
      <c r="G426" s="24"/>
      <c r="H426" s="113"/>
    </row>
    <row r="427">
      <c r="G427" s="24"/>
      <c r="H427" s="113"/>
    </row>
    <row r="428">
      <c r="G428" s="24"/>
      <c r="H428" s="113"/>
    </row>
    <row r="429">
      <c r="G429" s="24"/>
      <c r="H429" s="113"/>
    </row>
    <row r="430">
      <c r="G430" s="24"/>
      <c r="H430" s="113"/>
    </row>
    <row r="431">
      <c r="G431" s="24"/>
      <c r="H431" s="113"/>
    </row>
    <row r="432">
      <c r="G432" s="24"/>
      <c r="H432" s="113"/>
    </row>
    <row r="433">
      <c r="G433" s="24"/>
      <c r="H433" s="113"/>
    </row>
    <row r="434">
      <c r="G434" s="24"/>
      <c r="H434" s="113"/>
    </row>
    <row r="435">
      <c r="G435" s="24"/>
      <c r="H435" s="113"/>
    </row>
    <row r="436">
      <c r="G436" s="24"/>
      <c r="H436" s="113"/>
    </row>
    <row r="437">
      <c r="G437" s="24"/>
      <c r="H437" s="113"/>
    </row>
    <row r="438">
      <c r="G438" s="24"/>
      <c r="H438" s="113"/>
    </row>
    <row r="439">
      <c r="G439" s="24"/>
      <c r="H439" s="113"/>
    </row>
    <row r="440">
      <c r="G440" s="24"/>
      <c r="H440" s="113"/>
    </row>
    <row r="441">
      <c r="G441" s="24"/>
      <c r="H441" s="113"/>
    </row>
    <row r="442">
      <c r="G442" s="24"/>
      <c r="H442" s="113"/>
    </row>
    <row r="443">
      <c r="G443" s="24"/>
      <c r="H443" s="113"/>
    </row>
    <row r="444">
      <c r="G444" s="24"/>
      <c r="H444" s="113"/>
    </row>
    <row r="445">
      <c r="G445" s="24"/>
      <c r="H445" s="113"/>
    </row>
    <row r="446">
      <c r="G446" s="24"/>
      <c r="H446" s="113"/>
    </row>
    <row r="447">
      <c r="G447" s="24"/>
      <c r="H447" s="113"/>
    </row>
    <row r="448">
      <c r="G448" s="24"/>
      <c r="H448" s="113"/>
    </row>
    <row r="449">
      <c r="G449" s="24"/>
      <c r="H449" s="113"/>
    </row>
    <row r="450">
      <c r="G450" s="24"/>
      <c r="H450" s="113"/>
    </row>
    <row r="451">
      <c r="G451" s="24"/>
      <c r="H451" s="113"/>
    </row>
    <row r="452">
      <c r="G452" s="24"/>
      <c r="H452" s="113"/>
    </row>
    <row r="453">
      <c r="G453" s="24"/>
      <c r="H453" s="113"/>
    </row>
    <row r="454">
      <c r="G454" s="24"/>
      <c r="H454" s="113"/>
    </row>
    <row r="455">
      <c r="G455" s="24"/>
      <c r="H455" s="113"/>
    </row>
    <row r="456">
      <c r="G456" s="24"/>
      <c r="H456" s="113"/>
    </row>
    <row r="457">
      <c r="G457" s="24"/>
      <c r="H457" s="113"/>
    </row>
    <row r="458">
      <c r="G458" s="24"/>
      <c r="H458" s="113"/>
    </row>
    <row r="459">
      <c r="G459" s="24"/>
      <c r="H459" s="113"/>
    </row>
    <row r="460">
      <c r="G460" s="24"/>
      <c r="H460" s="113"/>
    </row>
    <row r="461">
      <c r="G461" s="24"/>
      <c r="H461" s="113"/>
    </row>
    <row r="462">
      <c r="G462" s="24"/>
      <c r="H462" s="113"/>
    </row>
    <row r="463">
      <c r="G463" s="24"/>
      <c r="H463" s="113"/>
    </row>
    <row r="464">
      <c r="G464" s="24"/>
      <c r="H464" s="113"/>
    </row>
    <row r="465">
      <c r="G465" s="24"/>
      <c r="H465" s="113"/>
    </row>
    <row r="466">
      <c r="G466" s="24"/>
      <c r="H466" s="113"/>
    </row>
    <row r="467">
      <c r="G467" s="24"/>
      <c r="H467" s="113"/>
    </row>
    <row r="468">
      <c r="G468" s="24"/>
      <c r="H468" s="113"/>
    </row>
    <row r="469">
      <c r="G469" s="24"/>
      <c r="H469" s="113"/>
    </row>
    <row r="470">
      <c r="G470" s="24"/>
      <c r="H470" s="113"/>
    </row>
    <row r="471">
      <c r="G471" s="24"/>
      <c r="H471" s="113"/>
    </row>
    <row r="472">
      <c r="G472" s="24"/>
      <c r="H472" s="113"/>
    </row>
    <row r="473">
      <c r="G473" s="24"/>
      <c r="H473" s="113"/>
    </row>
    <row r="474">
      <c r="G474" s="24"/>
      <c r="H474" s="113"/>
    </row>
    <row r="475">
      <c r="G475" s="24"/>
      <c r="H475" s="113"/>
    </row>
    <row r="476">
      <c r="G476" s="24"/>
      <c r="H476" s="113"/>
    </row>
    <row r="477">
      <c r="G477" s="24"/>
      <c r="H477" s="113"/>
    </row>
    <row r="478">
      <c r="G478" s="24"/>
      <c r="H478" s="113"/>
    </row>
    <row r="479">
      <c r="G479" s="24"/>
      <c r="H479" s="113"/>
    </row>
    <row r="480">
      <c r="G480" s="24"/>
      <c r="H480" s="113"/>
    </row>
    <row r="481">
      <c r="G481" s="24"/>
      <c r="H481" s="113"/>
    </row>
    <row r="482">
      <c r="G482" s="24"/>
      <c r="H482" s="113"/>
    </row>
    <row r="483">
      <c r="G483" s="24"/>
      <c r="H483" s="113"/>
    </row>
    <row r="484">
      <c r="G484" s="24"/>
      <c r="H484" s="113"/>
    </row>
    <row r="485">
      <c r="G485" s="24"/>
      <c r="H485" s="113"/>
    </row>
    <row r="486">
      <c r="G486" s="24"/>
      <c r="H486" s="113"/>
    </row>
    <row r="487">
      <c r="G487" s="24"/>
      <c r="H487" s="113"/>
    </row>
    <row r="488">
      <c r="G488" s="24"/>
      <c r="H488" s="113"/>
    </row>
    <row r="489">
      <c r="G489" s="24"/>
      <c r="H489" s="113"/>
    </row>
    <row r="490">
      <c r="G490" s="24"/>
      <c r="H490" s="113"/>
    </row>
    <row r="491">
      <c r="G491" s="24"/>
      <c r="H491" s="113"/>
    </row>
    <row r="492">
      <c r="G492" s="24"/>
      <c r="H492" s="113"/>
    </row>
    <row r="493">
      <c r="G493" s="24"/>
      <c r="H493" s="113"/>
    </row>
    <row r="494">
      <c r="G494" s="24"/>
      <c r="H494" s="113"/>
    </row>
    <row r="495">
      <c r="G495" s="24"/>
      <c r="H495" s="113"/>
    </row>
    <row r="496">
      <c r="G496" s="24"/>
      <c r="H496" s="113"/>
    </row>
    <row r="497">
      <c r="G497" s="24"/>
      <c r="H497" s="113"/>
    </row>
    <row r="498">
      <c r="G498" s="24"/>
      <c r="H498" s="113"/>
    </row>
    <row r="499">
      <c r="G499" s="24"/>
      <c r="H499" s="113"/>
    </row>
    <row r="500">
      <c r="G500" s="24"/>
      <c r="H500" s="113"/>
    </row>
    <row r="501">
      <c r="G501" s="24"/>
      <c r="H501" s="113"/>
    </row>
    <row r="502">
      <c r="G502" s="24"/>
      <c r="H502" s="113"/>
    </row>
    <row r="503">
      <c r="G503" s="24"/>
      <c r="H503" s="113"/>
    </row>
    <row r="504">
      <c r="G504" s="24"/>
      <c r="H504" s="113"/>
    </row>
    <row r="505">
      <c r="G505" s="24"/>
      <c r="H505" s="113"/>
    </row>
    <row r="506">
      <c r="G506" s="24"/>
      <c r="H506" s="113"/>
    </row>
    <row r="507">
      <c r="G507" s="24"/>
      <c r="H507" s="113"/>
    </row>
    <row r="508">
      <c r="G508" s="24"/>
      <c r="H508" s="113"/>
    </row>
    <row r="509">
      <c r="G509" s="24"/>
      <c r="H509" s="113"/>
    </row>
    <row r="510">
      <c r="G510" s="24"/>
      <c r="H510" s="113"/>
    </row>
    <row r="511">
      <c r="G511" s="24"/>
      <c r="H511" s="113"/>
    </row>
    <row r="512">
      <c r="G512" s="24"/>
      <c r="H512" s="113"/>
    </row>
    <row r="513">
      <c r="G513" s="24"/>
      <c r="H513" s="113"/>
    </row>
    <row r="514">
      <c r="G514" s="24"/>
      <c r="H514" s="113"/>
    </row>
    <row r="515">
      <c r="G515" s="24"/>
      <c r="H515" s="113"/>
    </row>
    <row r="516">
      <c r="G516" s="24"/>
      <c r="H516" s="113"/>
    </row>
    <row r="517">
      <c r="G517" s="24"/>
      <c r="H517" s="113"/>
    </row>
    <row r="518">
      <c r="G518" s="24"/>
      <c r="H518" s="113"/>
    </row>
    <row r="519">
      <c r="G519" s="24"/>
      <c r="H519" s="113"/>
    </row>
    <row r="520">
      <c r="G520" s="24"/>
      <c r="H520" s="113"/>
    </row>
    <row r="521">
      <c r="G521" s="24"/>
      <c r="H521" s="113"/>
    </row>
    <row r="522">
      <c r="G522" s="24"/>
      <c r="H522" s="113"/>
    </row>
    <row r="523">
      <c r="G523" s="24"/>
      <c r="H523" s="113"/>
    </row>
    <row r="524">
      <c r="G524" s="24"/>
      <c r="H524" s="113"/>
    </row>
    <row r="525">
      <c r="G525" s="24"/>
      <c r="H525" s="113"/>
    </row>
    <row r="526">
      <c r="G526" s="24"/>
      <c r="H526" s="113"/>
    </row>
    <row r="527">
      <c r="G527" s="24"/>
      <c r="H527" s="113"/>
    </row>
    <row r="528">
      <c r="G528" s="24"/>
      <c r="H528" s="113"/>
    </row>
    <row r="529">
      <c r="G529" s="24"/>
      <c r="H529" s="113"/>
    </row>
    <row r="530">
      <c r="G530" s="24"/>
      <c r="H530" s="113"/>
    </row>
    <row r="531">
      <c r="G531" s="24"/>
      <c r="H531" s="113"/>
    </row>
    <row r="532">
      <c r="G532" s="24"/>
      <c r="H532" s="113"/>
    </row>
    <row r="533">
      <c r="G533" s="24"/>
      <c r="H533" s="113"/>
    </row>
    <row r="534">
      <c r="G534" s="24"/>
      <c r="H534" s="113"/>
    </row>
    <row r="535">
      <c r="G535" s="24"/>
      <c r="H535" s="113"/>
    </row>
    <row r="536">
      <c r="G536" s="24"/>
      <c r="H536" s="113"/>
    </row>
    <row r="537">
      <c r="G537" s="24"/>
      <c r="H537" s="113"/>
    </row>
    <row r="538">
      <c r="G538" s="24"/>
      <c r="H538" s="113"/>
    </row>
    <row r="539">
      <c r="G539" s="24"/>
      <c r="H539" s="113"/>
    </row>
    <row r="540">
      <c r="G540" s="24"/>
      <c r="H540" s="113"/>
    </row>
    <row r="541">
      <c r="G541" s="24"/>
      <c r="H541" s="113"/>
    </row>
    <row r="542">
      <c r="G542" s="24"/>
      <c r="H542" s="113"/>
    </row>
    <row r="543">
      <c r="G543" s="24"/>
      <c r="H543" s="113"/>
    </row>
    <row r="544">
      <c r="G544" s="24"/>
      <c r="H544" s="113"/>
    </row>
    <row r="545">
      <c r="G545" s="24"/>
      <c r="H545" s="113"/>
    </row>
    <row r="546">
      <c r="G546" s="24"/>
      <c r="H546" s="113"/>
    </row>
    <row r="547">
      <c r="G547" s="24"/>
      <c r="H547" s="113"/>
    </row>
    <row r="548">
      <c r="G548" s="24"/>
      <c r="H548" s="113"/>
    </row>
    <row r="549">
      <c r="G549" s="24"/>
      <c r="H549" s="113"/>
    </row>
    <row r="550">
      <c r="G550" s="24"/>
      <c r="H550" s="113"/>
    </row>
    <row r="551">
      <c r="G551" s="24"/>
      <c r="H551" s="113"/>
    </row>
    <row r="552">
      <c r="G552" s="24"/>
      <c r="H552" s="113"/>
    </row>
    <row r="553">
      <c r="G553" s="24"/>
      <c r="H553" s="113"/>
    </row>
    <row r="554">
      <c r="G554" s="24"/>
      <c r="H554" s="113"/>
    </row>
    <row r="555">
      <c r="G555" s="24"/>
      <c r="H555" s="113"/>
    </row>
    <row r="556">
      <c r="G556" s="24"/>
      <c r="H556" s="113"/>
    </row>
    <row r="557">
      <c r="G557" s="24"/>
      <c r="H557" s="113"/>
    </row>
    <row r="558">
      <c r="G558" s="24"/>
      <c r="H558" s="113"/>
    </row>
    <row r="559">
      <c r="G559" s="24"/>
      <c r="H559" s="113"/>
    </row>
    <row r="560">
      <c r="G560" s="24"/>
      <c r="H560" s="113"/>
    </row>
    <row r="561">
      <c r="G561" s="24"/>
      <c r="H561" s="113"/>
    </row>
    <row r="562">
      <c r="G562" s="24"/>
      <c r="H562" s="113"/>
    </row>
    <row r="563">
      <c r="G563" s="24"/>
      <c r="H563" s="113"/>
    </row>
    <row r="564">
      <c r="G564" s="24"/>
      <c r="H564" s="113"/>
    </row>
    <row r="565">
      <c r="G565" s="24"/>
      <c r="H565" s="113"/>
    </row>
    <row r="566">
      <c r="G566" s="24"/>
      <c r="H566" s="113"/>
    </row>
    <row r="567">
      <c r="G567" s="24"/>
      <c r="H567" s="113"/>
    </row>
    <row r="568">
      <c r="G568" s="24"/>
      <c r="H568" s="113"/>
    </row>
    <row r="569">
      <c r="G569" s="24"/>
      <c r="H569" s="113"/>
    </row>
    <row r="570">
      <c r="G570" s="24"/>
      <c r="H570" s="113"/>
    </row>
    <row r="571">
      <c r="G571" s="24"/>
      <c r="H571" s="113"/>
    </row>
    <row r="572">
      <c r="G572" s="24"/>
      <c r="H572" s="113"/>
    </row>
    <row r="573">
      <c r="G573" s="24"/>
      <c r="H573" s="113"/>
    </row>
    <row r="574">
      <c r="G574" s="24"/>
      <c r="H574" s="113"/>
    </row>
    <row r="575">
      <c r="G575" s="24"/>
      <c r="H575" s="113"/>
    </row>
    <row r="576">
      <c r="G576" s="24"/>
      <c r="H576" s="113"/>
    </row>
    <row r="577">
      <c r="G577" s="24"/>
      <c r="H577" s="113"/>
    </row>
    <row r="578">
      <c r="G578" s="24"/>
      <c r="H578" s="113"/>
    </row>
    <row r="579">
      <c r="G579" s="24"/>
      <c r="H579" s="113"/>
    </row>
    <row r="580">
      <c r="G580" s="24"/>
      <c r="H580" s="113"/>
    </row>
    <row r="581">
      <c r="G581" s="24"/>
      <c r="H581" s="113"/>
    </row>
    <row r="582">
      <c r="G582" s="24"/>
      <c r="H582" s="113"/>
    </row>
    <row r="583">
      <c r="G583" s="24"/>
      <c r="H583" s="113"/>
    </row>
    <row r="584">
      <c r="G584" s="24"/>
      <c r="H584" s="113"/>
    </row>
    <row r="585">
      <c r="G585" s="24"/>
      <c r="H585" s="113"/>
    </row>
    <row r="586">
      <c r="G586" s="24"/>
      <c r="H586" s="113"/>
    </row>
    <row r="587">
      <c r="G587" s="24"/>
      <c r="H587" s="113"/>
    </row>
    <row r="588">
      <c r="G588" s="24"/>
      <c r="H588" s="113"/>
    </row>
    <row r="589">
      <c r="G589" s="24"/>
      <c r="H589" s="113"/>
    </row>
    <row r="590">
      <c r="G590" s="24"/>
      <c r="H590" s="113"/>
    </row>
    <row r="591">
      <c r="G591" s="24"/>
      <c r="H591" s="113"/>
    </row>
    <row r="592">
      <c r="G592" s="24"/>
      <c r="H592" s="113"/>
    </row>
    <row r="593">
      <c r="G593" s="24"/>
      <c r="H593" s="113"/>
    </row>
    <row r="594">
      <c r="G594" s="24"/>
      <c r="H594" s="113"/>
    </row>
    <row r="595">
      <c r="G595" s="24"/>
      <c r="H595" s="113"/>
    </row>
    <row r="596">
      <c r="G596" s="24"/>
      <c r="H596" s="113"/>
    </row>
    <row r="597">
      <c r="G597" s="24"/>
      <c r="H597" s="113"/>
    </row>
    <row r="598">
      <c r="G598" s="24"/>
      <c r="H598" s="113"/>
    </row>
    <row r="599">
      <c r="G599" s="24"/>
      <c r="H599" s="113"/>
    </row>
    <row r="600">
      <c r="G600" s="24"/>
      <c r="H600" s="113"/>
    </row>
    <row r="601">
      <c r="G601" s="24"/>
      <c r="H601" s="113"/>
    </row>
    <row r="602">
      <c r="G602" s="24"/>
      <c r="H602" s="113"/>
    </row>
    <row r="603">
      <c r="G603" s="24"/>
      <c r="H603" s="113"/>
    </row>
    <row r="604">
      <c r="G604" s="24"/>
      <c r="H604" s="113"/>
    </row>
    <row r="605">
      <c r="G605" s="24"/>
      <c r="H605" s="113"/>
    </row>
    <row r="606">
      <c r="G606" s="24"/>
      <c r="H606" s="113"/>
    </row>
    <row r="607">
      <c r="G607" s="24"/>
      <c r="H607" s="113"/>
    </row>
    <row r="608">
      <c r="G608" s="24"/>
      <c r="H608" s="113"/>
    </row>
    <row r="609">
      <c r="G609" s="24"/>
      <c r="H609" s="113"/>
    </row>
    <row r="610">
      <c r="G610" s="24"/>
      <c r="H610" s="113"/>
    </row>
    <row r="611">
      <c r="G611" s="24"/>
      <c r="H611" s="113"/>
    </row>
    <row r="612">
      <c r="G612" s="24"/>
      <c r="H612" s="113"/>
    </row>
    <row r="613">
      <c r="G613" s="24"/>
      <c r="H613" s="113"/>
    </row>
    <row r="614">
      <c r="G614" s="24"/>
      <c r="H614" s="113"/>
    </row>
    <row r="615">
      <c r="G615" s="24"/>
      <c r="H615" s="113"/>
    </row>
    <row r="616">
      <c r="G616" s="24"/>
      <c r="H616" s="113"/>
    </row>
    <row r="617">
      <c r="G617" s="24"/>
      <c r="H617" s="113"/>
    </row>
    <row r="618">
      <c r="G618" s="24"/>
      <c r="H618" s="113"/>
    </row>
    <row r="619">
      <c r="G619" s="24"/>
      <c r="H619" s="113"/>
    </row>
    <row r="620">
      <c r="G620" s="24"/>
      <c r="H620" s="113"/>
    </row>
    <row r="621">
      <c r="G621" s="24"/>
      <c r="H621" s="113"/>
    </row>
    <row r="622">
      <c r="G622" s="24"/>
      <c r="H622" s="113"/>
    </row>
    <row r="623">
      <c r="G623" s="24"/>
      <c r="H623" s="113"/>
    </row>
    <row r="624">
      <c r="G624" s="24"/>
      <c r="H624" s="113"/>
    </row>
    <row r="625">
      <c r="G625" s="24"/>
      <c r="H625" s="113"/>
    </row>
    <row r="626">
      <c r="G626" s="24"/>
      <c r="H626" s="113"/>
    </row>
    <row r="627">
      <c r="G627" s="24"/>
      <c r="H627" s="113"/>
    </row>
    <row r="628">
      <c r="G628" s="24"/>
      <c r="H628" s="113"/>
    </row>
    <row r="629">
      <c r="G629" s="24"/>
      <c r="H629" s="113"/>
    </row>
    <row r="630">
      <c r="G630" s="24"/>
      <c r="H630" s="113"/>
    </row>
    <row r="631">
      <c r="G631" s="24"/>
      <c r="H631" s="113"/>
    </row>
    <row r="632">
      <c r="G632" s="24"/>
      <c r="H632" s="113"/>
    </row>
    <row r="633">
      <c r="G633" s="24"/>
      <c r="H633" s="113"/>
    </row>
    <row r="634">
      <c r="G634" s="24"/>
      <c r="H634" s="113"/>
    </row>
    <row r="635">
      <c r="G635" s="24"/>
      <c r="H635" s="113"/>
    </row>
    <row r="636">
      <c r="G636" s="24"/>
      <c r="H636" s="113"/>
    </row>
    <row r="637">
      <c r="G637" s="24"/>
      <c r="H637" s="113"/>
    </row>
    <row r="638">
      <c r="G638" s="24"/>
      <c r="H638" s="113"/>
    </row>
    <row r="639">
      <c r="G639" s="24"/>
      <c r="H639" s="113"/>
    </row>
    <row r="640">
      <c r="G640" s="24"/>
      <c r="H640" s="113"/>
    </row>
    <row r="641">
      <c r="G641" s="24"/>
      <c r="H641" s="113"/>
    </row>
    <row r="642">
      <c r="G642" s="24"/>
      <c r="H642" s="113"/>
    </row>
    <row r="643">
      <c r="G643" s="24"/>
      <c r="H643" s="113"/>
    </row>
    <row r="644">
      <c r="G644" s="24"/>
      <c r="H644" s="113"/>
    </row>
    <row r="645">
      <c r="G645" s="24"/>
      <c r="H645" s="113"/>
    </row>
    <row r="646">
      <c r="G646" s="24"/>
      <c r="H646" s="113"/>
    </row>
    <row r="647">
      <c r="G647" s="24"/>
      <c r="H647" s="113"/>
    </row>
    <row r="648">
      <c r="G648" s="24"/>
      <c r="H648" s="113"/>
    </row>
    <row r="649">
      <c r="G649" s="24"/>
      <c r="H649" s="113"/>
    </row>
    <row r="650">
      <c r="G650" s="24"/>
      <c r="H650" s="113"/>
    </row>
    <row r="651">
      <c r="G651" s="24"/>
      <c r="H651" s="113"/>
    </row>
    <row r="652">
      <c r="G652" s="24"/>
      <c r="H652" s="113"/>
    </row>
    <row r="653">
      <c r="G653" s="24"/>
      <c r="H653" s="113"/>
    </row>
    <row r="654">
      <c r="G654" s="24"/>
      <c r="H654" s="113"/>
    </row>
    <row r="655">
      <c r="G655" s="24"/>
      <c r="H655" s="113"/>
    </row>
    <row r="656">
      <c r="G656" s="24"/>
      <c r="H656" s="113"/>
    </row>
    <row r="657">
      <c r="G657" s="24"/>
      <c r="H657" s="113"/>
    </row>
    <row r="658">
      <c r="G658" s="24"/>
      <c r="H658" s="113"/>
    </row>
    <row r="659">
      <c r="G659" s="24"/>
      <c r="H659" s="113"/>
    </row>
    <row r="660">
      <c r="G660" s="24"/>
      <c r="H660" s="113"/>
    </row>
    <row r="661">
      <c r="G661" s="24"/>
      <c r="H661" s="113"/>
    </row>
    <row r="662">
      <c r="G662" s="24"/>
      <c r="H662" s="113"/>
    </row>
    <row r="663">
      <c r="G663" s="24"/>
      <c r="H663" s="113"/>
    </row>
    <row r="664">
      <c r="G664" s="24"/>
      <c r="H664" s="113"/>
    </row>
    <row r="665">
      <c r="G665" s="24"/>
      <c r="H665" s="113"/>
    </row>
    <row r="666">
      <c r="G666" s="24"/>
      <c r="H666" s="113"/>
    </row>
    <row r="667">
      <c r="G667" s="24"/>
      <c r="H667" s="113"/>
    </row>
    <row r="668">
      <c r="G668" s="24"/>
      <c r="H668" s="113"/>
    </row>
    <row r="669">
      <c r="G669" s="24"/>
      <c r="H669" s="113"/>
    </row>
    <row r="670">
      <c r="G670" s="24"/>
      <c r="H670" s="113"/>
    </row>
    <row r="671">
      <c r="G671" s="24"/>
      <c r="H671" s="113"/>
    </row>
    <row r="672">
      <c r="G672" s="24"/>
      <c r="H672" s="113"/>
    </row>
    <row r="673">
      <c r="G673" s="24"/>
      <c r="H673" s="113"/>
    </row>
    <row r="674">
      <c r="G674" s="24"/>
      <c r="H674" s="113"/>
    </row>
    <row r="675">
      <c r="G675" s="24"/>
      <c r="H675" s="113"/>
    </row>
    <row r="676">
      <c r="G676" s="24"/>
      <c r="H676" s="113"/>
    </row>
    <row r="677">
      <c r="G677" s="24"/>
      <c r="H677" s="113"/>
    </row>
    <row r="678">
      <c r="G678" s="24"/>
      <c r="H678" s="113"/>
    </row>
    <row r="679">
      <c r="G679" s="24"/>
      <c r="H679" s="113"/>
    </row>
    <row r="680">
      <c r="G680" s="24"/>
      <c r="H680" s="113"/>
    </row>
    <row r="681">
      <c r="G681" s="24"/>
      <c r="H681" s="113"/>
    </row>
    <row r="682">
      <c r="G682" s="24"/>
      <c r="H682" s="113"/>
    </row>
    <row r="683">
      <c r="G683" s="24"/>
      <c r="H683" s="113"/>
    </row>
    <row r="684">
      <c r="G684" s="24"/>
      <c r="H684" s="113"/>
    </row>
    <row r="685">
      <c r="G685" s="24"/>
      <c r="H685" s="113"/>
    </row>
    <row r="686">
      <c r="G686" s="24"/>
      <c r="H686" s="113"/>
    </row>
    <row r="687">
      <c r="G687" s="24"/>
      <c r="H687" s="113"/>
    </row>
    <row r="688">
      <c r="G688" s="24"/>
      <c r="H688" s="113"/>
    </row>
    <row r="689">
      <c r="G689" s="24"/>
      <c r="H689" s="113"/>
    </row>
    <row r="690">
      <c r="G690" s="24"/>
      <c r="H690" s="113"/>
    </row>
    <row r="691">
      <c r="G691" s="24"/>
      <c r="H691" s="113"/>
    </row>
    <row r="692">
      <c r="G692" s="24"/>
      <c r="H692" s="113"/>
    </row>
    <row r="693">
      <c r="G693" s="24"/>
      <c r="H693" s="113"/>
    </row>
    <row r="694">
      <c r="G694" s="24"/>
      <c r="H694" s="113"/>
    </row>
    <row r="695">
      <c r="G695" s="24"/>
      <c r="H695" s="113"/>
    </row>
    <row r="696">
      <c r="G696" s="24"/>
      <c r="H696" s="113"/>
    </row>
    <row r="697">
      <c r="G697" s="24"/>
      <c r="H697" s="113"/>
    </row>
    <row r="698">
      <c r="G698" s="24"/>
      <c r="H698" s="113"/>
    </row>
    <row r="699">
      <c r="G699" s="24"/>
      <c r="H699" s="113"/>
    </row>
    <row r="700">
      <c r="G700" s="24"/>
      <c r="H700" s="113"/>
    </row>
    <row r="701">
      <c r="G701" s="24"/>
      <c r="H701" s="113"/>
    </row>
    <row r="702">
      <c r="G702" s="24"/>
      <c r="H702" s="113"/>
    </row>
    <row r="703">
      <c r="G703" s="24"/>
      <c r="H703" s="113"/>
    </row>
    <row r="704">
      <c r="G704" s="24"/>
      <c r="H704" s="113"/>
    </row>
    <row r="705">
      <c r="G705" s="24"/>
      <c r="H705" s="113"/>
    </row>
    <row r="706">
      <c r="G706" s="24"/>
      <c r="H706" s="113"/>
    </row>
    <row r="707">
      <c r="G707" s="24"/>
      <c r="H707" s="113"/>
    </row>
    <row r="708">
      <c r="G708" s="24"/>
      <c r="H708" s="113"/>
    </row>
    <row r="709">
      <c r="G709" s="24"/>
      <c r="H709" s="113"/>
    </row>
    <row r="710">
      <c r="G710" s="24"/>
      <c r="H710" s="113"/>
    </row>
    <row r="711">
      <c r="G711" s="24"/>
      <c r="H711" s="113"/>
    </row>
    <row r="712">
      <c r="G712" s="24"/>
      <c r="H712" s="113"/>
    </row>
    <row r="713">
      <c r="G713" s="24"/>
      <c r="H713" s="113"/>
    </row>
    <row r="714">
      <c r="G714" s="24"/>
      <c r="H714" s="113"/>
    </row>
    <row r="715">
      <c r="G715" s="24"/>
      <c r="H715" s="113"/>
    </row>
    <row r="716">
      <c r="G716" s="24"/>
      <c r="H716" s="113"/>
    </row>
    <row r="717">
      <c r="G717" s="24"/>
      <c r="H717" s="113"/>
    </row>
    <row r="718">
      <c r="G718" s="24"/>
      <c r="H718" s="113"/>
    </row>
    <row r="719">
      <c r="G719" s="24"/>
      <c r="H719" s="113"/>
    </row>
    <row r="720">
      <c r="G720" s="24"/>
      <c r="H720" s="113"/>
    </row>
    <row r="721">
      <c r="G721" s="24"/>
      <c r="H721" s="113"/>
    </row>
    <row r="722">
      <c r="G722" s="24"/>
      <c r="H722" s="113"/>
    </row>
    <row r="723">
      <c r="G723" s="24"/>
      <c r="H723" s="113"/>
    </row>
    <row r="724">
      <c r="G724" s="24"/>
      <c r="H724" s="113"/>
    </row>
    <row r="725">
      <c r="G725" s="24"/>
      <c r="H725" s="113"/>
    </row>
    <row r="726">
      <c r="G726" s="24"/>
      <c r="H726" s="113"/>
    </row>
    <row r="727">
      <c r="G727" s="24"/>
      <c r="H727" s="113"/>
    </row>
    <row r="728">
      <c r="G728" s="24"/>
      <c r="H728" s="113"/>
    </row>
    <row r="729">
      <c r="G729" s="24"/>
      <c r="H729" s="113"/>
    </row>
    <row r="730">
      <c r="G730" s="24"/>
      <c r="H730" s="113"/>
    </row>
    <row r="731">
      <c r="G731" s="24"/>
      <c r="H731" s="113"/>
    </row>
    <row r="732">
      <c r="G732" s="24"/>
      <c r="H732" s="113"/>
    </row>
    <row r="733">
      <c r="G733" s="24"/>
      <c r="H733" s="113"/>
    </row>
    <row r="734">
      <c r="G734" s="24"/>
      <c r="H734" s="113"/>
    </row>
    <row r="735">
      <c r="G735" s="24"/>
      <c r="H735" s="113"/>
    </row>
    <row r="736">
      <c r="G736" s="24"/>
      <c r="H736" s="113"/>
    </row>
    <row r="737">
      <c r="G737" s="24"/>
      <c r="H737" s="113"/>
    </row>
    <row r="738">
      <c r="G738" s="24"/>
      <c r="H738" s="113"/>
    </row>
    <row r="739">
      <c r="G739" s="24"/>
      <c r="H739" s="113"/>
    </row>
    <row r="740">
      <c r="G740" s="24"/>
      <c r="H740" s="113"/>
    </row>
    <row r="741">
      <c r="G741" s="24"/>
      <c r="H741" s="113"/>
    </row>
    <row r="742">
      <c r="G742" s="24"/>
      <c r="H742" s="113"/>
    </row>
    <row r="743">
      <c r="G743" s="24"/>
      <c r="H743" s="113"/>
    </row>
    <row r="744">
      <c r="G744" s="24"/>
      <c r="H744" s="113"/>
    </row>
    <row r="745">
      <c r="G745" s="24"/>
      <c r="H745" s="113"/>
    </row>
    <row r="746">
      <c r="G746" s="24"/>
      <c r="H746" s="113"/>
    </row>
    <row r="747">
      <c r="G747" s="24"/>
      <c r="H747" s="113"/>
    </row>
    <row r="748">
      <c r="G748" s="24"/>
      <c r="H748" s="113"/>
    </row>
    <row r="749">
      <c r="G749" s="24"/>
      <c r="H749" s="113"/>
    </row>
    <row r="750">
      <c r="G750" s="24"/>
      <c r="H750" s="113"/>
    </row>
    <row r="751">
      <c r="G751" s="24"/>
      <c r="H751" s="113"/>
    </row>
    <row r="752">
      <c r="G752" s="24"/>
      <c r="H752" s="113"/>
    </row>
    <row r="753">
      <c r="G753" s="24"/>
      <c r="H753" s="113"/>
    </row>
    <row r="754">
      <c r="G754" s="24"/>
      <c r="H754" s="113"/>
    </row>
    <row r="755">
      <c r="G755" s="24"/>
      <c r="H755" s="113"/>
    </row>
    <row r="756">
      <c r="G756" s="24"/>
      <c r="H756" s="113"/>
    </row>
    <row r="757">
      <c r="G757" s="24"/>
      <c r="H757" s="113"/>
    </row>
    <row r="758">
      <c r="G758" s="24"/>
      <c r="H758" s="113"/>
    </row>
    <row r="759">
      <c r="G759" s="24"/>
      <c r="H759" s="113"/>
    </row>
    <row r="760">
      <c r="G760" s="24"/>
      <c r="H760" s="113"/>
    </row>
    <row r="761">
      <c r="G761" s="24"/>
      <c r="H761" s="113"/>
    </row>
    <row r="762">
      <c r="G762" s="24"/>
      <c r="H762" s="113"/>
    </row>
    <row r="763">
      <c r="G763" s="24"/>
      <c r="H763" s="113"/>
    </row>
    <row r="764">
      <c r="G764" s="24"/>
      <c r="H764" s="113"/>
    </row>
    <row r="765">
      <c r="G765" s="24"/>
      <c r="H765" s="113"/>
    </row>
    <row r="766">
      <c r="G766" s="24"/>
      <c r="H766" s="113"/>
    </row>
    <row r="767">
      <c r="G767" s="24"/>
      <c r="H767" s="113"/>
    </row>
    <row r="768">
      <c r="G768" s="24"/>
      <c r="H768" s="113"/>
    </row>
    <row r="769">
      <c r="G769" s="24"/>
      <c r="H769" s="113"/>
    </row>
    <row r="770">
      <c r="G770" s="24"/>
      <c r="H770" s="113"/>
    </row>
    <row r="771">
      <c r="G771" s="24"/>
      <c r="H771" s="113"/>
    </row>
    <row r="772">
      <c r="G772" s="24"/>
      <c r="H772" s="113"/>
    </row>
    <row r="773">
      <c r="G773" s="24"/>
      <c r="H773" s="113"/>
    </row>
    <row r="774">
      <c r="G774" s="24"/>
      <c r="H774" s="113"/>
    </row>
    <row r="775">
      <c r="G775" s="24"/>
      <c r="H775" s="113"/>
    </row>
    <row r="776">
      <c r="G776" s="24"/>
      <c r="H776" s="113"/>
    </row>
    <row r="777">
      <c r="G777" s="24"/>
      <c r="H777" s="113"/>
    </row>
    <row r="778">
      <c r="G778" s="24"/>
      <c r="H778" s="113"/>
    </row>
    <row r="779">
      <c r="G779" s="24"/>
      <c r="H779" s="113"/>
    </row>
    <row r="780">
      <c r="G780" s="24"/>
      <c r="H780" s="113"/>
    </row>
    <row r="781">
      <c r="G781" s="24"/>
      <c r="H781" s="113"/>
    </row>
    <row r="782">
      <c r="G782" s="24"/>
      <c r="H782" s="113"/>
    </row>
    <row r="783">
      <c r="G783" s="24"/>
      <c r="H783" s="113"/>
    </row>
    <row r="784">
      <c r="G784" s="24"/>
      <c r="H784" s="113"/>
    </row>
    <row r="785">
      <c r="G785" s="24"/>
      <c r="H785" s="113"/>
    </row>
    <row r="786">
      <c r="G786" s="24"/>
      <c r="H786" s="113"/>
    </row>
    <row r="787">
      <c r="G787" s="24"/>
      <c r="H787" s="113"/>
    </row>
    <row r="788">
      <c r="G788" s="24"/>
      <c r="H788" s="113"/>
    </row>
    <row r="789">
      <c r="G789" s="24"/>
      <c r="H789" s="113"/>
    </row>
    <row r="790">
      <c r="G790" s="24"/>
      <c r="H790" s="113"/>
    </row>
    <row r="791">
      <c r="G791" s="24"/>
      <c r="H791" s="113"/>
    </row>
    <row r="792">
      <c r="G792" s="24"/>
      <c r="H792" s="113"/>
    </row>
    <row r="793">
      <c r="G793" s="24"/>
      <c r="H793" s="113"/>
    </row>
    <row r="794">
      <c r="G794" s="24"/>
      <c r="H794" s="113"/>
    </row>
    <row r="795">
      <c r="G795" s="24"/>
      <c r="H795" s="113"/>
    </row>
    <row r="796">
      <c r="G796" s="24"/>
      <c r="H796" s="113"/>
    </row>
    <row r="797">
      <c r="G797" s="24"/>
      <c r="H797" s="113"/>
    </row>
    <row r="798">
      <c r="G798" s="24"/>
      <c r="H798" s="113"/>
    </row>
    <row r="799">
      <c r="G799" s="24"/>
      <c r="H799" s="113"/>
    </row>
    <row r="800">
      <c r="G800" s="24"/>
      <c r="H800" s="113"/>
    </row>
    <row r="801">
      <c r="G801" s="24"/>
      <c r="H801" s="113"/>
    </row>
    <row r="802">
      <c r="G802" s="24"/>
      <c r="H802" s="113"/>
    </row>
    <row r="803">
      <c r="G803" s="24"/>
      <c r="H803" s="113"/>
    </row>
    <row r="804">
      <c r="G804" s="24"/>
      <c r="H804" s="113"/>
    </row>
    <row r="805">
      <c r="G805" s="24"/>
      <c r="H805" s="113"/>
    </row>
    <row r="806">
      <c r="G806" s="24"/>
      <c r="H806" s="113"/>
    </row>
    <row r="807">
      <c r="G807" s="24"/>
      <c r="H807" s="113"/>
    </row>
    <row r="808">
      <c r="G808" s="24"/>
      <c r="H808" s="113"/>
    </row>
    <row r="809">
      <c r="G809" s="24"/>
      <c r="H809" s="113"/>
    </row>
    <row r="810">
      <c r="G810" s="24"/>
      <c r="H810" s="113"/>
    </row>
    <row r="811">
      <c r="G811" s="24"/>
      <c r="H811" s="113"/>
    </row>
    <row r="812">
      <c r="G812" s="24"/>
      <c r="H812" s="113"/>
    </row>
    <row r="813">
      <c r="G813" s="24"/>
      <c r="H813" s="113"/>
    </row>
    <row r="814">
      <c r="G814" s="24"/>
      <c r="H814" s="113"/>
    </row>
    <row r="815">
      <c r="G815" s="24"/>
      <c r="H815" s="113"/>
    </row>
    <row r="816">
      <c r="G816" s="24"/>
      <c r="H816" s="113"/>
    </row>
    <row r="817">
      <c r="G817" s="24"/>
      <c r="H817" s="113"/>
    </row>
    <row r="818">
      <c r="G818" s="24"/>
      <c r="H818" s="113"/>
    </row>
    <row r="819">
      <c r="G819" s="24"/>
      <c r="H819" s="113"/>
    </row>
    <row r="820">
      <c r="G820" s="24"/>
      <c r="H820" s="113"/>
    </row>
    <row r="821">
      <c r="G821" s="24"/>
      <c r="H821" s="113"/>
    </row>
    <row r="822">
      <c r="G822" s="24"/>
      <c r="H822" s="113"/>
    </row>
    <row r="823">
      <c r="G823" s="24"/>
      <c r="H823" s="113"/>
    </row>
    <row r="824">
      <c r="G824" s="24"/>
      <c r="H824" s="113"/>
    </row>
    <row r="825">
      <c r="G825" s="24"/>
      <c r="H825" s="113"/>
    </row>
    <row r="826">
      <c r="G826" s="24"/>
      <c r="H826" s="113"/>
    </row>
    <row r="827">
      <c r="G827" s="24"/>
      <c r="H827" s="113"/>
    </row>
    <row r="828">
      <c r="G828" s="24"/>
      <c r="H828" s="113"/>
    </row>
    <row r="829">
      <c r="G829" s="24"/>
      <c r="H829" s="113"/>
    </row>
    <row r="830">
      <c r="G830" s="24"/>
      <c r="H830" s="113"/>
    </row>
    <row r="831">
      <c r="G831" s="24"/>
      <c r="H831" s="113"/>
    </row>
    <row r="832">
      <c r="G832" s="24"/>
      <c r="H832" s="113"/>
    </row>
    <row r="833">
      <c r="G833" s="24"/>
      <c r="H833" s="113"/>
    </row>
    <row r="834">
      <c r="G834" s="24"/>
      <c r="H834" s="113"/>
    </row>
    <row r="835">
      <c r="G835" s="24"/>
      <c r="H835" s="113"/>
    </row>
    <row r="836">
      <c r="G836" s="24"/>
      <c r="H836" s="113"/>
    </row>
    <row r="837">
      <c r="G837" s="24"/>
      <c r="H837" s="113"/>
    </row>
    <row r="838">
      <c r="G838" s="24"/>
      <c r="H838" s="113"/>
    </row>
    <row r="839">
      <c r="G839" s="24"/>
      <c r="H839" s="113"/>
    </row>
    <row r="840">
      <c r="G840" s="24"/>
      <c r="H840" s="113"/>
    </row>
    <row r="841">
      <c r="G841" s="24"/>
      <c r="H841" s="113"/>
    </row>
    <row r="842">
      <c r="G842" s="24"/>
      <c r="H842" s="113"/>
    </row>
    <row r="843">
      <c r="G843" s="24"/>
      <c r="H843" s="113"/>
    </row>
    <row r="844">
      <c r="G844" s="24"/>
      <c r="H844" s="113"/>
    </row>
    <row r="845">
      <c r="G845" s="24"/>
      <c r="H845" s="113"/>
    </row>
    <row r="846">
      <c r="G846" s="24"/>
      <c r="H846" s="113"/>
    </row>
    <row r="847">
      <c r="G847" s="24"/>
      <c r="H847" s="113"/>
    </row>
    <row r="848">
      <c r="G848" s="24"/>
      <c r="H848" s="113"/>
    </row>
    <row r="849">
      <c r="G849" s="24"/>
      <c r="H849" s="113"/>
    </row>
    <row r="850">
      <c r="G850" s="24"/>
      <c r="H850" s="113"/>
    </row>
    <row r="851">
      <c r="G851" s="24"/>
      <c r="H851" s="113"/>
    </row>
    <row r="852">
      <c r="G852" s="24"/>
      <c r="H852" s="113"/>
    </row>
    <row r="853">
      <c r="G853" s="24"/>
      <c r="H853" s="113"/>
    </row>
    <row r="854">
      <c r="G854" s="24"/>
      <c r="H854" s="113"/>
    </row>
    <row r="855">
      <c r="G855" s="24"/>
      <c r="H855" s="113"/>
    </row>
    <row r="856">
      <c r="G856" s="24"/>
      <c r="H856" s="113"/>
    </row>
    <row r="857">
      <c r="G857" s="24"/>
      <c r="H857" s="113"/>
    </row>
    <row r="858">
      <c r="G858" s="24"/>
      <c r="H858" s="113"/>
    </row>
    <row r="859">
      <c r="G859" s="24"/>
      <c r="H859" s="113"/>
    </row>
    <row r="860">
      <c r="G860" s="24"/>
      <c r="H860" s="113"/>
    </row>
    <row r="861">
      <c r="G861" s="24"/>
      <c r="H861" s="113"/>
    </row>
    <row r="862">
      <c r="G862" s="24"/>
      <c r="H862" s="113"/>
    </row>
    <row r="863">
      <c r="G863" s="24"/>
      <c r="H863" s="113"/>
    </row>
    <row r="864">
      <c r="G864" s="24"/>
      <c r="H864" s="113"/>
    </row>
    <row r="865">
      <c r="G865" s="24"/>
      <c r="H865" s="113"/>
    </row>
    <row r="866">
      <c r="G866" s="24"/>
      <c r="H866" s="113"/>
    </row>
    <row r="867">
      <c r="G867" s="24"/>
      <c r="H867" s="113"/>
    </row>
    <row r="868">
      <c r="G868" s="24"/>
      <c r="H868" s="113"/>
    </row>
    <row r="869">
      <c r="G869" s="24"/>
      <c r="H869" s="113"/>
    </row>
    <row r="870">
      <c r="G870" s="24"/>
      <c r="H870" s="113"/>
    </row>
    <row r="871">
      <c r="G871" s="24"/>
      <c r="H871" s="113"/>
    </row>
    <row r="872">
      <c r="G872" s="24"/>
      <c r="H872" s="113"/>
    </row>
    <row r="873">
      <c r="G873" s="24"/>
      <c r="H873" s="113"/>
    </row>
    <row r="874">
      <c r="G874" s="24"/>
      <c r="H874" s="113"/>
    </row>
    <row r="875">
      <c r="G875" s="24"/>
      <c r="H875" s="113"/>
    </row>
    <row r="876">
      <c r="G876" s="24"/>
      <c r="H876" s="113"/>
    </row>
    <row r="877">
      <c r="G877" s="24"/>
      <c r="H877" s="113"/>
    </row>
    <row r="878">
      <c r="G878" s="24"/>
      <c r="H878" s="113"/>
    </row>
    <row r="879">
      <c r="G879" s="24"/>
      <c r="H879" s="113"/>
    </row>
    <row r="880">
      <c r="G880" s="24"/>
      <c r="H880" s="113"/>
    </row>
    <row r="881">
      <c r="G881" s="24"/>
      <c r="H881" s="113"/>
    </row>
    <row r="882">
      <c r="G882" s="24"/>
      <c r="H882" s="113"/>
    </row>
    <row r="883">
      <c r="G883" s="24"/>
      <c r="H883" s="113"/>
    </row>
    <row r="884">
      <c r="G884" s="24"/>
      <c r="H884" s="113"/>
    </row>
    <row r="885">
      <c r="G885" s="24"/>
      <c r="H885" s="113"/>
    </row>
    <row r="886">
      <c r="G886" s="24"/>
      <c r="H886" s="113"/>
    </row>
    <row r="887">
      <c r="G887" s="24"/>
      <c r="H887" s="113"/>
    </row>
    <row r="888">
      <c r="G888" s="24"/>
      <c r="H888" s="113"/>
    </row>
    <row r="889">
      <c r="G889" s="24"/>
      <c r="H889" s="113"/>
    </row>
    <row r="890">
      <c r="G890" s="24"/>
      <c r="H890" s="113"/>
    </row>
    <row r="891">
      <c r="G891" s="24"/>
      <c r="H891" s="113"/>
    </row>
    <row r="892">
      <c r="G892" s="24"/>
      <c r="H892" s="113"/>
    </row>
    <row r="893">
      <c r="G893" s="24"/>
      <c r="H893" s="113"/>
    </row>
    <row r="894">
      <c r="G894" s="24"/>
      <c r="H894" s="113"/>
    </row>
    <row r="895">
      <c r="G895" s="24"/>
      <c r="H895" s="113"/>
    </row>
    <row r="896">
      <c r="G896" s="24"/>
      <c r="H896" s="113"/>
    </row>
    <row r="897">
      <c r="G897" s="24"/>
      <c r="H897" s="113"/>
    </row>
    <row r="898">
      <c r="G898" s="24"/>
      <c r="H898" s="113"/>
    </row>
    <row r="899">
      <c r="G899" s="24"/>
      <c r="H899" s="113"/>
    </row>
    <row r="900">
      <c r="G900" s="24"/>
      <c r="H900" s="113"/>
    </row>
    <row r="901">
      <c r="G901" s="24"/>
      <c r="H901" s="113"/>
    </row>
    <row r="902">
      <c r="G902" s="24"/>
      <c r="H902" s="113"/>
    </row>
    <row r="903">
      <c r="G903" s="24"/>
      <c r="H903" s="113"/>
    </row>
    <row r="904">
      <c r="G904" s="24"/>
      <c r="H904" s="113"/>
    </row>
    <row r="905">
      <c r="G905" s="24"/>
      <c r="H905" s="113"/>
    </row>
    <row r="906">
      <c r="G906" s="24"/>
      <c r="H906" s="113"/>
    </row>
    <row r="907">
      <c r="G907" s="24"/>
      <c r="H907" s="113"/>
    </row>
    <row r="908">
      <c r="G908" s="24"/>
      <c r="H908" s="113"/>
    </row>
    <row r="909">
      <c r="G909" s="24"/>
      <c r="H909" s="113"/>
    </row>
    <row r="910">
      <c r="G910" s="24"/>
      <c r="H910" s="113"/>
    </row>
    <row r="911">
      <c r="G911" s="24"/>
      <c r="H911" s="113"/>
    </row>
    <row r="912">
      <c r="G912" s="24"/>
      <c r="H912" s="113"/>
    </row>
    <row r="913">
      <c r="G913" s="24"/>
      <c r="H913" s="113"/>
    </row>
    <row r="914">
      <c r="G914" s="24"/>
      <c r="H914" s="113"/>
    </row>
    <row r="915">
      <c r="G915" s="24"/>
      <c r="H915" s="113"/>
    </row>
    <row r="916">
      <c r="G916" s="24"/>
      <c r="H916" s="113"/>
    </row>
    <row r="917">
      <c r="G917" s="24"/>
      <c r="H917" s="113"/>
    </row>
    <row r="918">
      <c r="G918" s="24"/>
      <c r="H918" s="113"/>
    </row>
    <row r="919">
      <c r="G919" s="24"/>
      <c r="H919" s="113"/>
    </row>
    <row r="920">
      <c r="G920" s="24"/>
      <c r="H920" s="113"/>
    </row>
    <row r="921">
      <c r="G921" s="24"/>
      <c r="H921" s="113"/>
    </row>
    <row r="922">
      <c r="G922" s="24"/>
      <c r="H922" s="113"/>
    </row>
    <row r="923">
      <c r="G923" s="24"/>
      <c r="H923" s="113"/>
    </row>
    <row r="924">
      <c r="G924" s="24"/>
      <c r="H924" s="113"/>
    </row>
    <row r="925">
      <c r="G925" s="24"/>
      <c r="H925" s="113"/>
    </row>
    <row r="926">
      <c r="G926" s="24"/>
      <c r="H926" s="113"/>
    </row>
    <row r="927">
      <c r="G927" s="24"/>
      <c r="H927" s="113"/>
    </row>
    <row r="928">
      <c r="G928" s="24"/>
      <c r="H928" s="113"/>
    </row>
    <row r="929">
      <c r="G929" s="24"/>
      <c r="H929" s="113"/>
    </row>
    <row r="930">
      <c r="G930" s="24"/>
      <c r="H930" s="113"/>
    </row>
    <row r="931">
      <c r="G931" s="24"/>
      <c r="H931" s="113"/>
    </row>
    <row r="932">
      <c r="G932" s="24"/>
      <c r="H932" s="113"/>
    </row>
    <row r="933">
      <c r="G933" s="24"/>
      <c r="H933" s="113"/>
    </row>
    <row r="934">
      <c r="G934" s="24"/>
      <c r="H934" s="113"/>
    </row>
    <row r="935">
      <c r="G935" s="24"/>
      <c r="H935" s="113"/>
    </row>
    <row r="936">
      <c r="G936" s="24"/>
      <c r="H936" s="113"/>
    </row>
    <row r="937">
      <c r="G937" s="24"/>
      <c r="H937" s="113"/>
    </row>
    <row r="938">
      <c r="G938" s="24"/>
      <c r="H938" s="113"/>
    </row>
    <row r="939">
      <c r="G939" s="24"/>
      <c r="H939" s="113"/>
    </row>
    <row r="940">
      <c r="G940" s="24"/>
      <c r="H940" s="113"/>
    </row>
    <row r="941">
      <c r="G941" s="24"/>
      <c r="H941" s="113"/>
    </row>
    <row r="942">
      <c r="G942" s="24"/>
      <c r="H942" s="113"/>
    </row>
    <row r="943">
      <c r="G943" s="24"/>
      <c r="H943" s="113"/>
    </row>
    <row r="944">
      <c r="G944" s="24"/>
      <c r="H944" s="113"/>
    </row>
    <row r="945">
      <c r="G945" s="24"/>
      <c r="H945" s="113"/>
    </row>
    <row r="946">
      <c r="G946" s="24"/>
      <c r="H946" s="113"/>
    </row>
    <row r="947">
      <c r="G947" s="24"/>
      <c r="H947" s="113"/>
    </row>
    <row r="948">
      <c r="G948" s="24"/>
      <c r="H948" s="113"/>
    </row>
    <row r="949">
      <c r="G949" s="24"/>
      <c r="H949" s="113"/>
    </row>
    <row r="950">
      <c r="G950" s="24"/>
      <c r="H950" s="113"/>
    </row>
    <row r="951">
      <c r="G951" s="24"/>
      <c r="H951" s="113"/>
    </row>
    <row r="952">
      <c r="G952" s="24"/>
      <c r="H952" s="113"/>
    </row>
    <row r="953">
      <c r="G953" s="24"/>
      <c r="H953" s="113"/>
    </row>
    <row r="954">
      <c r="G954" s="24"/>
      <c r="H954" s="113"/>
    </row>
    <row r="955">
      <c r="G955" s="24"/>
      <c r="H955" s="113"/>
    </row>
    <row r="956">
      <c r="G956" s="24"/>
      <c r="H956" s="113"/>
    </row>
    <row r="957">
      <c r="G957" s="24"/>
      <c r="H957" s="113"/>
    </row>
    <row r="958">
      <c r="G958" s="24"/>
      <c r="H958" s="113"/>
    </row>
    <row r="959">
      <c r="G959" s="24"/>
      <c r="H959" s="113"/>
    </row>
    <row r="960">
      <c r="G960" s="24"/>
      <c r="H960" s="113"/>
    </row>
    <row r="961">
      <c r="G961" s="24"/>
      <c r="H961" s="113"/>
    </row>
    <row r="962">
      <c r="G962" s="24"/>
      <c r="H962" s="113"/>
    </row>
    <row r="963">
      <c r="G963" s="24"/>
      <c r="H963" s="113"/>
    </row>
    <row r="964">
      <c r="G964" s="24"/>
      <c r="H964" s="113"/>
    </row>
    <row r="965">
      <c r="G965" s="24"/>
      <c r="H965" s="113"/>
    </row>
    <row r="966">
      <c r="G966" s="24"/>
      <c r="H966" s="113"/>
    </row>
    <row r="967">
      <c r="G967" s="24"/>
      <c r="H967" s="113"/>
    </row>
    <row r="968">
      <c r="G968" s="24"/>
      <c r="H968" s="113"/>
    </row>
    <row r="969">
      <c r="G969" s="24"/>
      <c r="H969" s="113"/>
    </row>
    <row r="970">
      <c r="G970" s="24"/>
      <c r="H970" s="113"/>
    </row>
    <row r="971">
      <c r="G971" s="24"/>
      <c r="H971" s="113"/>
    </row>
    <row r="972">
      <c r="G972" s="24"/>
      <c r="H972" s="113"/>
    </row>
    <row r="973">
      <c r="G973" s="24"/>
      <c r="H973" s="113"/>
    </row>
    <row r="974">
      <c r="G974" s="24"/>
      <c r="H974" s="113"/>
    </row>
    <row r="975">
      <c r="G975" s="24"/>
      <c r="H975" s="113"/>
    </row>
    <row r="976">
      <c r="G976" s="24"/>
      <c r="H976" s="113"/>
    </row>
    <row r="977">
      <c r="G977" s="24"/>
      <c r="H977" s="113"/>
    </row>
    <row r="978">
      <c r="G978" s="24"/>
      <c r="H978" s="113"/>
    </row>
    <row r="979">
      <c r="G979" s="24"/>
      <c r="H979" s="113"/>
    </row>
    <row r="980">
      <c r="G980" s="24"/>
      <c r="H980" s="113"/>
    </row>
    <row r="981">
      <c r="G981" s="24"/>
      <c r="H981" s="113"/>
    </row>
    <row r="982">
      <c r="G982" s="24"/>
      <c r="H982" s="113"/>
    </row>
    <row r="983">
      <c r="G983" s="24"/>
      <c r="H983" s="113"/>
    </row>
    <row r="984">
      <c r="G984" s="24"/>
      <c r="H984" s="113"/>
    </row>
    <row r="985">
      <c r="G985" s="24"/>
      <c r="H985" s="113"/>
    </row>
    <row r="986">
      <c r="G986" s="24"/>
      <c r="H986" s="113"/>
    </row>
    <row r="987">
      <c r="G987" s="24"/>
      <c r="H987" s="113"/>
    </row>
    <row r="988">
      <c r="G988" s="24"/>
      <c r="H988" s="113"/>
    </row>
    <row r="989">
      <c r="G989" s="24"/>
      <c r="H989" s="113"/>
    </row>
    <row r="990">
      <c r="G990" s="24"/>
      <c r="H990" s="113"/>
    </row>
    <row r="991">
      <c r="G991" s="24"/>
      <c r="H991" s="113"/>
    </row>
    <row r="992">
      <c r="G992" s="24"/>
      <c r="H992" s="113"/>
    </row>
    <row r="993">
      <c r="G993" s="24"/>
      <c r="H993" s="113"/>
    </row>
    <row r="994">
      <c r="G994" s="24"/>
      <c r="H994" s="113"/>
    </row>
    <row r="995">
      <c r="G995" s="24"/>
      <c r="H995" s="113"/>
    </row>
    <row r="996">
      <c r="G996" s="24"/>
      <c r="H996" s="113"/>
    </row>
    <row r="997">
      <c r="G997" s="24"/>
      <c r="H997" s="113"/>
    </row>
    <row r="998">
      <c r="G998" s="24"/>
      <c r="H998" s="113"/>
    </row>
    <row r="999">
      <c r="G999" s="24"/>
      <c r="H999" s="113"/>
    </row>
    <row r="1000">
      <c r="G1000" s="24"/>
      <c r="H1000" s="113"/>
    </row>
    <row r="1001">
      <c r="G1001" s="24"/>
      <c r="H1001" s="113"/>
    </row>
    <row r="1002">
      <c r="G1002" s="24"/>
      <c r="H1002" s="113"/>
    </row>
  </sheetData>
  <mergeCells count="6">
    <mergeCell ref="B1:G1"/>
    <mergeCell ref="C29:G29"/>
    <mergeCell ref="C30:G30"/>
    <mergeCell ref="C31:G31"/>
    <mergeCell ref="C32:G32"/>
    <mergeCell ref="C33:G33"/>
  </mergeCells>
  <conditionalFormatting sqref="G4 G7:G8 G10:G11 H63:H64">
    <cfRule type="colorScale" priority="1">
      <colorScale>
        <cfvo type="percent" val="0%"/>
        <cfvo type="percent" val="50%"/>
        <cfvo type="percent" val="100%"/>
        <color rgb="FFF4CCCC"/>
        <color rgb="FFFFF2CC"/>
        <color rgb="FFD9EAD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9.13"/>
    <col customWidth="1" min="3" max="3" width="62.63"/>
  </cols>
  <sheetData>
    <row r="1">
      <c r="A1" s="114"/>
      <c r="B1" s="117"/>
      <c r="C1" s="117"/>
      <c r="D1" s="117"/>
      <c r="E1" s="117"/>
      <c r="F1" s="117"/>
      <c r="G1" s="117"/>
      <c r="H1" s="131">
        <v>52.88</v>
      </c>
      <c r="I1" s="64">
        <v>53.93</v>
      </c>
      <c r="J1" s="64">
        <v>53.34</v>
      </c>
    </row>
    <row r="2">
      <c r="A2" s="117"/>
      <c r="B2" s="115" t="s">
        <v>367</v>
      </c>
      <c r="H2" s="57" t="s">
        <v>332</v>
      </c>
      <c r="I2" s="57" t="s">
        <v>333</v>
      </c>
      <c r="J2" s="57" t="s">
        <v>334</v>
      </c>
    </row>
    <row r="3">
      <c r="A3" s="118"/>
      <c r="B3" s="119"/>
      <c r="C3" s="119" t="s">
        <v>335</v>
      </c>
      <c r="D3" s="120">
        <v>0.3929</v>
      </c>
      <c r="E3" s="120">
        <v>0.4014</v>
      </c>
      <c r="F3" s="132">
        <v>0.45</v>
      </c>
      <c r="G3" s="122">
        <f>(E3-D3) / (F3-D3)</f>
        <v>0.1488616462</v>
      </c>
      <c r="H3" s="120">
        <v>0.3937</v>
      </c>
      <c r="I3" s="120">
        <v>0.4014</v>
      </c>
      <c r="J3" s="120">
        <v>0.3932</v>
      </c>
    </row>
    <row r="4">
      <c r="A4" s="14"/>
      <c r="B4" s="14"/>
      <c r="C4" s="15"/>
      <c r="D4" s="16"/>
      <c r="E4" s="16"/>
      <c r="F4" s="16"/>
      <c r="G4" s="16"/>
      <c r="H4" s="116"/>
      <c r="I4" s="116"/>
      <c r="J4" s="116"/>
    </row>
    <row r="5">
      <c r="A5" s="14"/>
      <c r="B5" s="1" t="s">
        <v>209</v>
      </c>
      <c r="C5" s="1" t="s">
        <v>368</v>
      </c>
      <c r="D5" s="3"/>
      <c r="E5" s="57"/>
      <c r="F5" s="3"/>
      <c r="G5" s="3"/>
      <c r="H5" s="57"/>
      <c r="I5" s="57"/>
      <c r="J5" s="57"/>
    </row>
    <row r="6">
      <c r="A6" s="104"/>
      <c r="B6" s="78" t="s">
        <v>107</v>
      </c>
      <c r="C6" s="5" t="s">
        <v>369</v>
      </c>
      <c r="D6" s="6">
        <v>22.0</v>
      </c>
      <c r="E6" s="6">
        <v>21.0</v>
      </c>
      <c r="F6" s="6">
        <v>7.0</v>
      </c>
      <c r="G6" s="7">
        <f t="shared" ref="G6:G8" si="1">(E6-D6) / (F6-D6)</f>
        <v>0.06666666667</v>
      </c>
      <c r="H6" s="6">
        <v>22.0</v>
      </c>
      <c r="I6" s="6">
        <v>21.0</v>
      </c>
      <c r="J6" s="6">
        <v>23.0</v>
      </c>
    </row>
    <row r="7">
      <c r="A7" s="104"/>
      <c r="B7" s="78" t="s">
        <v>111</v>
      </c>
      <c r="C7" s="5" t="s">
        <v>370</v>
      </c>
      <c r="D7" s="6">
        <v>21.0</v>
      </c>
      <c r="E7" s="6">
        <v>21.0</v>
      </c>
      <c r="F7" s="6">
        <v>40.0</v>
      </c>
      <c r="G7" s="7">
        <f t="shared" si="1"/>
        <v>0</v>
      </c>
      <c r="H7" s="6">
        <v>21.0</v>
      </c>
      <c r="I7" s="6">
        <v>21.0</v>
      </c>
      <c r="J7" s="6">
        <v>24.0</v>
      </c>
    </row>
    <row r="8">
      <c r="A8" s="14"/>
      <c r="B8" s="5" t="s">
        <v>371</v>
      </c>
      <c r="C8" s="5" t="s">
        <v>372</v>
      </c>
      <c r="D8" s="6">
        <v>0.0</v>
      </c>
      <c r="E8" s="6">
        <v>0.0</v>
      </c>
      <c r="F8" s="6">
        <v>25.0</v>
      </c>
      <c r="G8" s="7">
        <f t="shared" si="1"/>
        <v>0</v>
      </c>
      <c r="H8" s="6">
        <v>0.0</v>
      </c>
      <c r="I8" s="6">
        <v>0.0</v>
      </c>
      <c r="J8" s="6">
        <v>0.0</v>
      </c>
    </row>
    <row r="9">
      <c r="A9" s="14"/>
      <c r="B9" s="1" t="s">
        <v>216</v>
      </c>
      <c r="C9" s="1" t="s">
        <v>373</v>
      </c>
      <c r="D9" s="3"/>
      <c r="E9" s="57"/>
      <c r="F9" s="3"/>
      <c r="G9" s="3"/>
      <c r="H9" s="57"/>
      <c r="I9" s="57"/>
      <c r="J9" s="57"/>
    </row>
    <row r="10">
      <c r="A10" s="22"/>
      <c r="B10" s="25" t="s">
        <v>7</v>
      </c>
      <c r="C10" s="5" t="s">
        <v>374</v>
      </c>
      <c r="D10" s="6">
        <v>71.0</v>
      </c>
      <c r="E10" s="6">
        <v>76.0</v>
      </c>
      <c r="F10" s="6">
        <v>50.0</v>
      </c>
      <c r="G10" s="7">
        <f t="shared" ref="G10:G11" si="2">(E10-D10) / (F10-D10)</f>
        <v>-0.2380952381</v>
      </c>
      <c r="H10" s="6">
        <v>71.0</v>
      </c>
      <c r="I10" s="6">
        <v>76.0</v>
      </c>
      <c r="J10" s="6">
        <v>81.0</v>
      </c>
    </row>
    <row r="11">
      <c r="A11" s="22"/>
      <c r="B11" s="25" t="s">
        <v>9</v>
      </c>
      <c r="C11" s="5" t="s">
        <v>375</v>
      </c>
      <c r="D11" s="6">
        <v>148.0</v>
      </c>
      <c r="E11" s="6">
        <v>144.0</v>
      </c>
      <c r="F11" s="6">
        <f>E11-50</f>
        <v>94</v>
      </c>
      <c r="G11" s="7">
        <f t="shared" si="2"/>
        <v>0.07407407407</v>
      </c>
      <c r="H11" s="6">
        <v>148.0</v>
      </c>
      <c r="I11" s="6">
        <v>144.0</v>
      </c>
      <c r="J11" s="6">
        <v>159.0</v>
      </c>
    </row>
    <row r="12">
      <c r="A12" s="28"/>
      <c r="B12" s="28"/>
      <c r="C12" s="22"/>
      <c r="D12" s="22"/>
      <c r="E12" s="22"/>
      <c r="F12" s="22"/>
      <c r="G12" s="22"/>
      <c r="H12" s="112"/>
    </row>
    <row r="13">
      <c r="A13" s="28"/>
      <c r="B13" s="28"/>
      <c r="C13" s="22"/>
      <c r="D13" s="22"/>
      <c r="E13" s="22"/>
      <c r="F13" s="22"/>
      <c r="G13" s="22"/>
      <c r="H13" s="112"/>
    </row>
    <row r="14">
      <c r="A14" s="28"/>
      <c r="B14" s="133" t="s">
        <v>106</v>
      </c>
      <c r="C14" s="23" t="s">
        <v>376</v>
      </c>
      <c r="D14" s="22"/>
      <c r="E14" s="22"/>
      <c r="F14" s="22"/>
      <c r="G14" s="22"/>
      <c r="H14" s="112"/>
    </row>
    <row r="15">
      <c r="C15" s="63" t="s">
        <v>377</v>
      </c>
      <c r="D15" s="22"/>
      <c r="E15" s="22"/>
      <c r="F15" s="22"/>
      <c r="G15" s="22"/>
      <c r="H15" s="112"/>
    </row>
    <row r="16">
      <c r="C16" s="22" t="s">
        <v>378</v>
      </c>
      <c r="D16" s="22"/>
      <c r="E16" s="22"/>
      <c r="F16" s="22"/>
      <c r="G16" s="22"/>
      <c r="H16" s="112"/>
    </row>
    <row r="17">
      <c r="C17" s="62" t="s">
        <v>379</v>
      </c>
      <c r="D17" s="22"/>
      <c r="E17" s="22"/>
      <c r="F17" s="22"/>
      <c r="G17" s="22"/>
      <c r="H17" s="112"/>
    </row>
    <row r="18">
      <c r="A18" s="63"/>
      <c r="B18" s="63"/>
      <c r="C18" s="104" t="s">
        <v>380</v>
      </c>
      <c r="H18" s="113"/>
    </row>
    <row r="19">
      <c r="A19" s="63"/>
      <c r="B19" s="63"/>
      <c r="C19" s="63" t="s">
        <v>381</v>
      </c>
      <c r="H19" s="113"/>
    </row>
    <row r="20">
      <c r="C20" s="22" t="s">
        <v>382</v>
      </c>
      <c r="H20" s="113"/>
    </row>
    <row r="21">
      <c r="A21" s="63"/>
      <c r="B21" s="63"/>
      <c r="C21" s="62" t="s">
        <v>383</v>
      </c>
      <c r="H21" s="113"/>
    </row>
    <row r="22">
      <c r="H22" s="113"/>
    </row>
    <row r="23">
      <c r="C23" s="23" t="s">
        <v>384</v>
      </c>
      <c r="H23" s="113"/>
    </row>
    <row r="24">
      <c r="A24" s="63"/>
      <c r="B24" s="63"/>
      <c r="C24" s="63" t="s">
        <v>385</v>
      </c>
      <c r="H24" s="113"/>
    </row>
    <row r="25">
      <c r="A25" s="63"/>
      <c r="B25" s="63"/>
      <c r="C25" s="62" t="s">
        <v>386</v>
      </c>
      <c r="H25" s="113"/>
    </row>
    <row r="26">
      <c r="C26" s="62" t="s">
        <v>387</v>
      </c>
      <c r="H26" s="113"/>
    </row>
    <row r="27">
      <c r="C27" s="62" t="s">
        <v>388</v>
      </c>
      <c r="H27" s="113"/>
    </row>
    <row r="28">
      <c r="H28" s="113"/>
    </row>
    <row r="29">
      <c r="C29" s="23" t="s">
        <v>389</v>
      </c>
      <c r="H29" s="113"/>
    </row>
    <row r="30">
      <c r="C30" s="63" t="s">
        <v>390</v>
      </c>
      <c r="H30" s="113"/>
    </row>
    <row r="31">
      <c r="C31" s="63" t="s">
        <v>391</v>
      </c>
      <c r="H31" s="113"/>
    </row>
    <row r="32">
      <c r="C32" s="63" t="s">
        <v>392</v>
      </c>
      <c r="H32" s="113"/>
    </row>
    <row r="33">
      <c r="C33" s="22"/>
      <c r="H33" s="113"/>
    </row>
    <row r="34">
      <c r="C34" s="104"/>
      <c r="H34" s="113"/>
    </row>
    <row r="35">
      <c r="C35" s="134"/>
      <c r="H35" s="113"/>
    </row>
    <row r="36">
      <c r="C36" s="135" t="s">
        <v>393</v>
      </c>
      <c r="H36" s="113"/>
    </row>
    <row r="37">
      <c r="A37" s="129"/>
      <c r="B37" s="129"/>
      <c r="C37" s="136"/>
      <c r="H37" s="113"/>
    </row>
    <row r="38">
      <c r="A38" s="63"/>
      <c r="B38" s="63"/>
      <c r="C38" s="137" t="s">
        <v>394</v>
      </c>
      <c r="H38" s="113"/>
    </row>
    <row r="39">
      <c r="C39" s="138"/>
      <c r="H39" s="113"/>
    </row>
    <row r="40">
      <c r="C40" s="139" t="s">
        <v>395</v>
      </c>
      <c r="H40" s="113"/>
    </row>
    <row r="41">
      <c r="C41" s="134"/>
      <c r="H41" s="113"/>
    </row>
    <row r="42">
      <c r="C42" s="139" t="s">
        <v>396</v>
      </c>
      <c r="H42" s="113"/>
    </row>
    <row r="43">
      <c r="C43" s="134"/>
      <c r="H43" s="113"/>
    </row>
    <row r="44">
      <c r="C44" s="139" t="s">
        <v>397</v>
      </c>
      <c r="H44" s="113"/>
    </row>
    <row r="45">
      <c r="C45" s="134"/>
      <c r="H45" s="113"/>
    </row>
    <row r="46">
      <c r="C46" s="139" t="s">
        <v>398</v>
      </c>
      <c r="H46" s="113"/>
    </row>
    <row r="47">
      <c r="C47" s="134"/>
      <c r="H47" s="113"/>
    </row>
    <row r="48">
      <c r="C48" s="139" t="s">
        <v>399</v>
      </c>
      <c r="H48" s="113"/>
    </row>
    <row r="49">
      <c r="C49" s="134"/>
      <c r="H49" s="113"/>
    </row>
    <row r="50">
      <c r="C50" s="137" t="s">
        <v>400</v>
      </c>
      <c r="H50" s="113"/>
    </row>
    <row r="51">
      <c r="C51" s="140" t="s">
        <v>401</v>
      </c>
      <c r="H51" s="113"/>
    </row>
    <row r="52">
      <c r="C52" s="141"/>
      <c r="H52" s="113"/>
    </row>
    <row r="53">
      <c r="C53" s="139" t="s">
        <v>402</v>
      </c>
      <c r="H53" s="113"/>
    </row>
    <row r="54">
      <c r="C54" s="134"/>
      <c r="H54" s="113"/>
    </row>
    <row r="55">
      <c r="C55" s="139" t="s">
        <v>403</v>
      </c>
      <c r="H55" s="113"/>
    </row>
    <row r="56">
      <c r="C56" s="134"/>
      <c r="H56" s="113"/>
    </row>
    <row r="57">
      <c r="C57" s="139" t="s">
        <v>404</v>
      </c>
      <c r="H57" s="113"/>
    </row>
    <row r="58">
      <c r="C58" s="134"/>
      <c r="H58" s="113"/>
    </row>
    <row r="59">
      <c r="C59" s="140" t="s">
        <v>405</v>
      </c>
      <c r="H59" s="113"/>
    </row>
    <row r="60">
      <c r="C60" s="141"/>
      <c r="H60" s="113"/>
    </row>
    <row r="61">
      <c r="C61" s="139" t="s">
        <v>406</v>
      </c>
      <c r="H61" s="113"/>
    </row>
    <row r="62">
      <c r="C62" s="134"/>
      <c r="H62" s="113"/>
    </row>
    <row r="63">
      <c r="C63" s="139" t="s">
        <v>407</v>
      </c>
      <c r="H63" s="113"/>
    </row>
    <row r="64">
      <c r="C64" s="134"/>
      <c r="H64" s="113"/>
    </row>
    <row r="65">
      <c r="C65" s="139" t="s">
        <v>408</v>
      </c>
      <c r="H65" s="113"/>
    </row>
    <row r="66">
      <c r="C66" s="134"/>
      <c r="H66" s="113"/>
    </row>
    <row r="67">
      <c r="C67" s="137" t="s">
        <v>409</v>
      </c>
      <c r="H67" s="113"/>
    </row>
    <row r="68">
      <c r="C68" s="138"/>
      <c r="H68" s="113"/>
    </row>
    <row r="69">
      <c r="C69" s="142" t="s">
        <v>410</v>
      </c>
      <c r="H69" s="113"/>
    </row>
    <row r="70">
      <c r="C70" s="143"/>
      <c r="H70" s="113"/>
    </row>
    <row r="71">
      <c r="C71" s="140" t="s">
        <v>411</v>
      </c>
      <c r="H71" s="113"/>
    </row>
    <row r="72">
      <c r="C72" s="141"/>
      <c r="H72" s="113"/>
    </row>
    <row r="73">
      <c r="C73" s="139" t="s">
        <v>412</v>
      </c>
      <c r="H73" s="113"/>
    </row>
    <row r="74">
      <c r="C74" s="134"/>
      <c r="H74" s="113"/>
    </row>
    <row r="75">
      <c r="C75" s="139" t="s">
        <v>413</v>
      </c>
      <c r="H75" s="113"/>
    </row>
    <row r="76">
      <c r="C76" s="134"/>
      <c r="H76" s="113"/>
    </row>
    <row r="77">
      <c r="C77" s="140" t="s">
        <v>414</v>
      </c>
      <c r="H77" s="113"/>
    </row>
    <row r="78">
      <c r="C78" s="141"/>
      <c r="H78" s="113"/>
    </row>
    <row r="79">
      <c r="C79" s="139" t="s">
        <v>415</v>
      </c>
      <c r="H79" s="113"/>
    </row>
    <row r="80">
      <c r="C80" s="134"/>
      <c r="H80" s="113"/>
    </row>
    <row r="81">
      <c r="C81" s="139" t="s">
        <v>416</v>
      </c>
      <c r="H81" s="113"/>
    </row>
    <row r="82">
      <c r="C82" s="134"/>
      <c r="H82" s="113"/>
    </row>
    <row r="83">
      <c r="C83" s="140" t="s">
        <v>417</v>
      </c>
      <c r="H83" s="113"/>
    </row>
    <row r="84">
      <c r="C84" s="141"/>
      <c r="H84" s="113"/>
    </row>
    <row r="85">
      <c r="C85" s="139" t="s">
        <v>418</v>
      </c>
      <c r="H85" s="113"/>
    </row>
    <row r="86">
      <c r="C86" s="134"/>
      <c r="H86" s="113"/>
    </row>
    <row r="87">
      <c r="C87" s="139" t="s">
        <v>419</v>
      </c>
      <c r="H87" s="113"/>
    </row>
    <row r="88">
      <c r="C88" s="134"/>
      <c r="H88" s="113"/>
    </row>
    <row r="89">
      <c r="C89" s="139" t="s">
        <v>420</v>
      </c>
      <c r="H89" s="113"/>
    </row>
    <row r="90">
      <c r="C90" s="134"/>
      <c r="H90" s="113"/>
    </row>
    <row r="91">
      <c r="H91" s="113"/>
    </row>
    <row r="92">
      <c r="H92" s="113"/>
    </row>
    <row r="93">
      <c r="H93" s="113"/>
    </row>
    <row r="94">
      <c r="H94" s="113"/>
    </row>
    <row r="95">
      <c r="H95" s="113"/>
    </row>
    <row r="96">
      <c r="H96" s="113"/>
    </row>
    <row r="97">
      <c r="H97" s="113"/>
    </row>
    <row r="98">
      <c r="H98" s="113"/>
    </row>
    <row r="99">
      <c r="H99" s="113"/>
    </row>
    <row r="100">
      <c r="H100" s="113"/>
    </row>
    <row r="101">
      <c r="H101" s="113"/>
    </row>
    <row r="102">
      <c r="H102" s="113"/>
    </row>
    <row r="103">
      <c r="H103" s="113"/>
    </row>
    <row r="104">
      <c r="H104" s="113"/>
    </row>
    <row r="105">
      <c r="H105" s="113"/>
    </row>
    <row r="106">
      <c r="H106" s="113"/>
    </row>
    <row r="107">
      <c r="H107" s="113"/>
    </row>
    <row r="108">
      <c r="H108" s="113"/>
    </row>
    <row r="109">
      <c r="H109" s="113"/>
    </row>
    <row r="110">
      <c r="H110" s="113"/>
    </row>
    <row r="111">
      <c r="H111" s="113"/>
    </row>
    <row r="112">
      <c r="H112" s="113"/>
    </row>
    <row r="113">
      <c r="H113" s="113"/>
    </row>
    <row r="114">
      <c r="H114" s="113"/>
    </row>
    <row r="115">
      <c r="H115" s="113"/>
    </row>
    <row r="116">
      <c r="H116" s="113"/>
    </row>
    <row r="117">
      <c r="H117" s="113"/>
    </row>
    <row r="118">
      <c r="H118" s="113"/>
    </row>
    <row r="119">
      <c r="H119" s="113"/>
    </row>
    <row r="120">
      <c r="H120" s="113"/>
    </row>
    <row r="121">
      <c r="H121" s="113"/>
    </row>
    <row r="122">
      <c r="H122" s="113"/>
    </row>
    <row r="123">
      <c r="H123" s="113"/>
    </row>
    <row r="124">
      <c r="H124" s="113"/>
    </row>
    <row r="125">
      <c r="H125" s="113"/>
    </row>
    <row r="126">
      <c r="H126" s="113"/>
    </row>
    <row r="127">
      <c r="H127" s="113"/>
    </row>
    <row r="128">
      <c r="H128" s="113"/>
    </row>
    <row r="129">
      <c r="H129" s="113"/>
    </row>
    <row r="130">
      <c r="H130" s="113"/>
    </row>
    <row r="131">
      <c r="H131" s="113"/>
    </row>
    <row r="132">
      <c r="H132" s="113"/>
    </row>
    <row r="133">
      <c r="H133" s="113"/>
    </row>
    <row r="134">
      <c r="H134" s="113"/>
    </row>
    <row r="135">
      <c r="H135" s="113"/>
    </row>
    <row r="136">
      <c r="H136" s="113"/>
    </row>
    <row r="137">
      <c r="H137" s="113"/>
    </row>
    <row r="138">
      <c r="H138" s="113"/>
    </row>
    <row r="139">
      <c r="H139" s="113"/>
    </row>
    <row r="140">
      <c r="H140" s="113"/>
    </row>
    <row r="141">
      <c r="H141" s="113"/>
    </row>
    <row r="142">
      <c r="H142" s="113"/>
    </row>
    <row r="143">
      <c r="H143" s="113"/>
    </row>
    <row r="144">
      <c r="H144" s="113"/>
    </row>
    <row r="145">
      <c r="H145" s="113"/>
    </row>
    <row r="146">
      <c r="H146" s="113"/>
    </row>
    <row r="147">
      <c r="H147" s="113"/>
    </row>
    <row r="148">
      <c r="H148" s="113"/>
    </row>
    <row r="149">
      <c r="H149" s="113"/>
    </row>
    <row r="150">
      <c r="H150" s="113"/>
    </row>
    <row r="151">
      <c r="H151" s="113"/>
    </row>
    <row r="152">
      <c r="H152" s="113"/>
    </row>
    <row r="153">
      <c r="H153" s="113"/>
    </row>
    <row r="154">
      <c r="H154" s="113"/>
    </row>
    <row r="155">
      <c r="H155" s="113"/>
    </row>
    <row r="156">
      <c r="H156" s="113"/>
    </row>
    <row r="157">
      <c r="H157" s="113"/>
    </row>
    <row r="158">
      <c r="H158" s="113"/>
    </row>
    <row r="159">
      <c r="H159" s="113"/>
    </row>
    <row r="160">
      <c r="H160" s="113"/>
    </row>
    <row r="161">
      <c r="H161" s="113"/>
    </row>
    <row r="162">
      <c r="H162" s="113"/>
    </row>
    <row r="163">
      <c r="H163" s="113"/>
    </row>
    <row r="164">
      <c r="H164" s="113"/>
    </row>
    <row r="165">
      <c r="H165" s="113"/>
    </row>
    <row r="166">
      <c r="H166" s="113"/>
    </row>
    <row r="167">
      <c r="H167" s="113"/>
    </row>
    <row r="168">
      <c r="H168" s="113"/>
    </row>
    <row r="169">
      <c r="H169" s="113"/>
    </row>
    <row r="170">
      <c r="H170" s="113"/>
    </row>
    <row r="171">
      <c r="H171" s="113"/>
    </row>
    <row r="172">
      <c r="H172" s="113"/>
    </row>
    <row r="173">
      <c r="H173" s="113"/>
    </row>
    <row r="174">
      <c r="H174" s="113"/>
    </row>
    <row r="175">
      <c r="H175" s="113"/>
    </row>
    <row r="176">
      <c r="H176" s="113"/>
    </row>
    <row r="177">
      <c r="H177" s="113"/>
    </row>
    <row r="178">
      <c r="H178" s="113"/>
    </row>
    <row r="179">
      <c r="H179" s="113"/>
    </row>
    <row r="180">
      <c r="H180" s="113"/>
    </row>
    <row r="181">
      <c r="H181" s="113"/>
    </row>
    <row r="182">
      <c r="H182" s="113"/>
    </row>
    <row r="183">
      <c r="H183" s="113"/>
    </row>
    <row r="184">
      <c r="H184" s="113"/>
    </row>
    <row r="185">
      <c r="H185" s="113"/>
    </row>
    <row r="186">
      <c r="H186" s="113"/>
    </row>
    <row r="187">
      <c r="H187" s="113"/>
    </row>
    <row r="188">
      <c r="H188" s="113"/>
    </row>
    <row r="189">
      <c r="H189" s="113"/>
    </row>
    <row r="190">
      <c r="H190" s="113"/>
    </row>
    <row r="191">
      <c r="H191" s="113"/>
    </row>
    <row r="192">
      <c r="H192" s="113"/>
    </row>
    <row r="193">
      <c r="H193" s="113"/>
    </row>
    <row r="194">
      <c r="H194" s="113"/>
    </row>
    <row r="195">
      <c r="H195" s="113"/>
    </row>
    <row r="196">
      <c r="H196" s="113"/>
    </row>
    <row r="197">
      <c r="H197" s="113"/>
    </row>
    <row r="198">
      <c r="H198" s="113"/>
    </row>
    <row r="199">
      <c r="H199" s="113"/>
    </row>
    <row r="200">
      <c r="H200" s="113"/>
    </row>
    <row r="201">
      <c r="H201" s="113"/>
    </row>
    <row r="202">
      <c r="H202" s="113"/>
    </row>
    <row r="203">
      <c r="H203" s="113"/>
    </row>
    <row r="204">
      <c r="H204" s="113"/>
    </row>
    <row r="205">
      <c r="H205" s="113"/>
    </row>
    <row r="206">
      <c r="H206" s="113"/>
    </row>
    <row r="207">
      <c r="H207" s="113"/>
    </row>
    <row r="208">
      <c r="H208" s="113"/>
    </row>
    <row r="209">
      <c r="H209" s="113"/>
    </row>
    <row r="210">
      <c r="H210" s="113"/>
    </row>
    <row r="211">
      <c r="H211" s="113"/>
    </row>
    <row r="212">
      <c r="H212" s="113"/>
    </row>
    <row r="213">
      <c r="H213" s="113"/>
    </row>
    <row r="214">
      <c r="H214" s="113"/>
    </row>
    <row r="215">
      <c r="H215" s="113"/>
    </row>
    <row r="216">
      <c r="H216" s="113"/>
    </row>
    <row r="217">
      <c r="H217" s="113"/>
    </row>
    <row r="218">
      <c r="H218" s="113"/>
    </row>
    <row r="219">
      <c r="H219" s="113"/>
    </row>
    <row r="220">
      <c r="H220" s="113"/>
    </row>
    <row r="221">
      <c r="H221" s="113"/>
    </row>
    <row r="222">
      <c r="H222" s="113"/>
    </row>
    <row r="223">
      <c r="H223" s="113"/>
    </row>
    <row r="224">
      <c r="H224" s="113"/>
    </row>
    <row r="225">
      <c r="H225" s="113"/>
    </row>
    <row r="226">
      <c r="H226" s="113"/>
    </row>
    <row r="227">
      <c r="H227" s="113"/>
    </row>
    <row r="228">
      <c r="H228" s="113"/>
    </row>
    <row r="229">
      <c r="H229" s="113"/>
    </row>
    <row r="230">
      <c r="H230" s="113"/>
    </row>
    <row r="231">
      <c r="H231" s="113"/>
    </row>
    <row r="232">
      <c r="H232" s="113"/>
    </row>
    <row r="233">
      <c r="H233" s="113"/>
    </row>
    <row r="234">
      <c r="H234" s="113"/>
    </row>
    <row r="235">
      <c r="H235" s="113"/>
    </row>
    <row r="236">
      <c r="H236" s="113"/>
    </row>
    <row r="237">
      <c r="H237" s="113"/>
    </row>
    <row r="238">
      <c r="H238" s="113"/>
    </row>
    <row r="239">
      <c r="H239" s="113"/>
    </row>
    <row r="240">
      <c r="H240" s="113"/>
    </row>
    <row r="241">
      <c r="H241" s="113"/>
    </row>
    <row r="242">
      <c r="H242" s="113"/>
    </row>
    <row r="243">
      <c r="H243" s="113"/>
    </row>
    <row r="244">
      <c r="H244" s="113"/>
    </row>
    <row r="245">
      <c r="H245" s="113"/>
    </row>
    <row r="246">
      <c r="H246" s="113"/>
    </row>
    <row r="247">
      <c r="H247" s="113"/>
    </row>
    <row r="248">
      <c r="H248" s="113"/>
    </row>
    <row r="249">
      <c r="H249" s="113"/>
    </row>
    <row r="250">
      <c r="H250" s="113"/>
    </row>
    <row r="251">
      <c r="H251" s="113"/>
    </row>
    <row r="252">
      <c r="H252" s="113"/>
    </row>
    <row r="253">
      <c r="H253" s="113"/>
    </row>
    <row r="254">
      <c r="H254" s="113"/>
    </row>
    <row r="255">
      <c r="H255" s="113"/>
    </row>
    <row r="256">
      <c r="H256" s="113"/>
    </row>
    <row r="257">
      <c r="H257" s="113"/>
    </row>
    <row r="258">
      <c r="H258" s="113"/>
    </row>
    <row r="259">
      <c r="H259" s="113"/>
    </row>
    <row r="260">
      <c r="H260" s="113"/>
    </row>
    <row r="261">
      <c r="H261" s="113"/>
    </row>
    <row r="262">
      <c r="H262" s="113"/>
    </row>
    <row r="263">
      <c r="H263" s="113"/>
    </row>
    <row r="264">
      <c r="H264" s="113"/>
    </row>
    <row r="265">
      <c r="H265" s="113"/>
    </row>
    <row r="266">
      <c r="H266" s="113"/>
    </row>
    <row r="267">
      <c r="H267" s="113"/>
    </row>
    <row r="268">
      <c r="H268" s="113"/>
    </row>
    <row r="269">
      <c r="H269" s="113"/>
    </row>
    <row r="270">
      <c r="H270" s="113"/>
    </row>
    <row r="271">
      <c r="H271" s="113"/>
    </row>
    <row r="272">
      <c r="H272" s="113"/>
    </row>
    <row r="273">
      <c r="H273" s="113"/>
    </row>
    <row r="274">
      <c r="H274" s="113"/>
    </row>
    <row r="275">
      <c r="H275" s="113"/>
    </row>
    <row r="276">
      <c r="H276" s="113"/>
    </row>
    <row r="277">
      <c r="H277" s="113"/>
    </row>
    <row r="278">
      <c r="H278" s="113"/>
    </row>
    <row r="279">
      <c r="H279" s="113"/>
    </row>
    <row r="280">
      <c r="H280" s="113"/>
    </row>
    <row r="281">
      <c r="H281" s="113"/>
    </row>
    <row r="282">
      <c r="H282" s="113"/>
    </row>
    <row r="283">
      <c r="H283" s="113"/>
    </row>
    <row r="284">
      <c r="H284" s="113"/>
    </row>
    <row r="285">
      <c r="H285" s="113"/>
    </row>
    <row r="286">
      <c r="H286" s="113"/>
    </row>
    <row r="287">
      <c r="H287" s="113"/>
    </row>
    <row r="288">
      <c r="H288" s="113"/>
    </row>
    <row r="289">
      <c r="H289" s="113"/>
    </row>
    <row r="290">
      <c r="H290" s="113"/>
    </row>
    <row r="291">
      <c r="H291" s="113"/>
    </row>
    <row r="292">
      <c r="H292" s="113"/>
    </row>
    <row r="293">
      <c r="H293" s="113"/>
    </row>
    <row r="294">
      <c r="H294" s="113"/>
    </row>
    <row r="295">
      <c r="H295" s="113"/>
    </row>
    <row r="296">
      <c r="H296" s="113"/>
    </row>
    <row r="297">
      <c r="H297" s="113"/>
    </row>
    <row r="298">
      <c r="H298" s="113"/>
    </row>
    <row r="299">
      <c r="H299" s="113"/>
    </row>
    <row r="300">
      <c r="H300" s="113"/>
    </row>
    <row r="301">
      <c r="H301" s="113"/>
    </row>
    <row r="302">
      <c r="H302" s="113"/>
    </row>
    <row r="303">
      <c r="H303" s="113"/>
    </row>
    <row r="304">
      <c r="H304" s="113"/>
    </row>
    <row r="305">
      <c r="H305" s="113"/>
    </row>
    <row r="306">
      <c r="H306" s="113"/>
    </row>
    <row r="307">
      <c r="H307" s="113"/>
    </row>
    <row r="308">
      <c r="H308" s="113"/>
    </row>
    <row r="309">
      <c r="H309" s="113"/>
    </row>
    <row r="310">
      <c r="H310" s="113"/>
    </row>
    <row r="311">
      <c r="H311" s="113"/>
    </row>
    <row r="312">
      <c r="H312" s="113"/>
    </row>
    <row r="313">
      <c r="H313" s="113"/>
    </row>
    <row r="314">
      <c r="H314" s="113"/>
    </row>
    <row r="315">
      <c r="H315" s="113"/>
    </row>
    <row r="316">
      <c r="H316" s="113"/>
    </row>
    <row r="317">
      <c r="H317" s="113"/>
    </row>
    <row r="318">
      <c r="H318" s="113"/>
    </row>
    <row r="319">
      <c r="H319" s="113"/>
    </row>
    <row r="320">
      <c r="H320" s="113"/>
    </row>
    <row r="321">
      <c r="H321" s="113"/>
    </row>
    <row r="322">
      <c r="H322" s="113"/>
    </row>
    <row r="323">
      <c r="H323" s="113"/>
    </row>
    <row r="324">
      <c r="H324" s="113"/>
    </row>
    <row r="325">
      <c r="H325" s="113"/>
    </row>
    <row r="326">
      <c r="H326" s="113"/>
    </row>
    <row r="327">
      <c r="H327" s="113"/>
    </row>
    <row r="328">
      <c r="H328" s="113"/>
    </row>
    <row r="329">
      <c r="H329" s="113"/>
    </row>
    <row r="330">
      <c r="H330" s="113"/>
    </row>
    <row r="331">
      <c r="H331" s="113"/>
    </row>
    <row r="332">
      <c r="H332" s="113"/>
    </row>
    <row r="333">
      <c r="H333" s="113"/>
    </row>
    <row r="334">
      <c r="H334" s="113"/>
    </row>
    <row r="335">
      <c r="H335" s="113"/>
    </row>
    <row r="336">
      <c r="H336" s="113"/>
    </row>
    <row r="337">
      <c r="H337" s="113"/>
    </row>
    <row r="338">
      <c r="H338" s="113"/>
    </row>
    <row r="339">
      <c r="H339" s="113"/>
    </row>
    <row r="340">
      <c r="H340" s="113"/>
    </row>
    <row r="341">
      <c r="H341" s="113"/>
    </row>
    <row r="342">
      <c r="H342" s="113"/>
    </row>
    <row r="343">
      <c r="H343" s="113"/>
    </row>
    <row r="344">
      <c r="H344" s="113"/>
    </row>
    <row r="345">
      <c r="H345" s="113"/>
    </row>
    <row r="346">
      <c r="H346" s="113"/>
    </row>
    <row r="347">
      <c r="H347" s="113"/>
    </row>
    <row r="348">
      <c r="H348" s="113"/>
    </row>
    <row r="349">
      <c r="H349" s="113"/>
    </row>
    <row r="350">
      <c r="H350" s="113"/>
    </row>
    <row r="351">
      <c r="H351" s="113"/>
    </row>
    <row r="352">
      <c r="H352" s="113"/>
    </row>
    <row r="353">
      <c r="H353" s="113"/>
    </row>
    <row r="354">
      <c r="H354" s="113"/>
    </row>
    <row r="355">
      <c r="H355" s="113"/>
    </row>
    <row r="356">
      <c r="H356" s="113"/>
    </row>
    <row r="357">
      <c r="H357" s="113"/>
    </row>
    <row r="358">
      <c r="H358" s="113"/>
    </row>
    <row r="359">
      <c r="H359" s="113"/>
    </row>
    <row r="360">
      <c r="H360" s="113"/>
    </row>
    <row r="361">
      <c r="H361" s="113"/>
    </row>
    <row r="362">
      <c r="H362" s="113"/>
    </row>
    <row r="363">
      <c r="H363" s="113"/>
    </row>
    <row r="364">
      <c r="H364" s="113"/>
    </row>
    <row r="365">
      <c r="H365" s="113"/>
    </row>
    <row r="366">
      <c r="H366" s="113"/>
    </row>
    <row r="367">
      <c r="H367" s="113"/>
    </row>
    <row r="368">
      <c r="H368" s="113"/>
    </row>
    <row r="369">
      <c r="H369" s="113"/>
    </row>
    <row r="370">
      <c r="H370" s="113"/>
    </row>
    <row r="371">
      <c r="H371" s="113"/>
    </row>
    <row r="372">
      <c r="H372" s="113"/>
    </row>
    <row r="373">
      <c r="H373" s="113"/>
    </row>
    <row r="374">
      <c r="H374" s="113"/>
    </row>
    <row r="375">
      <c r="H375" s="113"/>
    </row>
    <row r="376">
      <c r="H376" s="113"/>
    </row>
    <row r="377">
      <c r="H377" s="113"/>
    </row>
    <row r="378">
      <c r="H378" s="113"/>
    </row>
    <row r="379">
      <c r="H379" s="113"/>
    </row>
    <row r="380">
      <c r="H380" s="113"/>
    </row>
    <row r="381">
      <c r="H381" s="113"/>
    </row>
    <row r="382">
      <c r="H382" s="113"/>
    </row>
    <row r="383">
      <c r="H383" s="113"/>
    </row>
    <row r="384">
      <c r="H384" s="113"/>
    </row>
    <row r="385">
      <c r="H385" s="113"/>
    </row>
    <row r="386">
      <c r="H386" s="113"/>
    </row>
    <row r="387">
      <c r="H387" s="113"/>
    </row>
    <row r="388">
      <c r="H388" s="113"/>
    </row>
    <row r="389">
      <c r="H389" s="113"/>
    </row>
    <row r="390">
      <c r="H390" s="113"/>
    </row>
    <row r="391">
      <c r="H391" s="113"/>
    </row>
    <row r="392">
      <c r="H392" s="113"/>
    </row>
    <row r="393">
      <c r="H393" s="113"/>
    </row>
    <row r="394">
      <c r="H394" s="113"/>
    </row>
    <row r="395">
      <c r="H395" s="113"/>
    </row>
    <row r="396">
      <c r="H396" s="113"/>
    </row>
    <row r="397">
      <c r="H397" s="113"/>
    </row>
    <row r="398">
      <c r="H398" s="113"/>
    </row>
    <row r="399">
      <c r="H399" s="113"/>
    </row>
    <row r="400">
      <c r="H400" s="113"/>
    </row>
    <row r="401">
      <c r="H401" s="113"/>
    </row>
    <row r="402">
      <c r="H402" s="113"/>
    </row>
    <row r="403">
      <c r="H403" s="113"/>
    </row>
    <row r="404">
      <c r="H404" s="113"/>
    </row>
    <row r="405">
      <c r="H405" s="113"/>
    </row>
    <row r="406">
      <c r="H406" s="113"/>
    </row>
    <row r="407">
      <c r="H407" s="113"/>
    </row>
    <row r="408">
      <c r="H408" s="113"/>
    </row>
    <row r="409">
      <c r="H409" s="113"/>
    </row>
    <row r="410">
      <c r="H410" s="113"/>
    </row>
    <row r="411">
      <c r="H411" s="113"/>
    </row>
    <row r="412">
      <c r="H412" s="113"/>
    </row>
    <row r="413">
      <c r="H413" s="113"/>
    </row>
    <row r="414">
      <c r="H414" s="113"/>
    </row>
    <row r="415">
      <c r="H415" s="113"/>
    </row>
    <row r="416">
      <c r="H416" s="113"/>
    </row>
    <row r="417">
      <c r="H417" s="113"/>
    </row>
    <row r="418">
      <c r="H418" s="113"/>
    </row>
    <row r="419">
      <c r="H419" s="113"/>
    </row>
    <row r="420">
      <c r="H420" s="113"/>
    </row>
    <row r="421">
      <c r="H421" s="113"/>
    </row>
    <row r="422">
      <c r="H422" s="113"/>
    </row>
    <row r="423">
      <c r="H423" s="113"/>
    </row>
    <row r="424">
      <c r="H424" s="113"/>
    </row>
    <row r="425">
      <c r="H425" s="113"/>
    </row>
    <row r="426">
      <c r="H426" s="113"/>
    </row>
    <row r="427">
      <c r="H427" s="113"/>
    </row>
    <row r="428">
      <c r="H428" s="113"/>
    </row>
    <row r="429">
      <c r="H429" s="113"/>
    </row>
    <row r="430">
      <c r="H430" s="113"/>
    </row>
    <row r="431">
      <c r="H431" s="113"/>
    </row>
    <row r="432">
      <c r="H432" s="113"/>
    </row>
    <row r="433">
      <c r="H433" s="113"/>
    </row>
    <row r="434">
      <c r="H434" s="113"/>
    </row>
    <row r="435">
      <c r="H435" s="113"/>
    </row>
    <row r="436">
      <c r="H436" s="113"/>
    </row>
    <row r="437">
      <c r="H437" s="113"/>
    </row>
    <row r="438">
      <c r="H438" s="113"/>
    </row>
    <row r="439">
      <c r="H439" s="113"/>
    </row>
    <row r="440">
      <c r="H440" s="113"/>
    </row>
    <row r="441">
      <c r="H441" s="113"/>
    </row>
    <row r="442">
      <c r="H442" s="113"/>
    </row>
    <row r="443">
      <c r="H443" s="113"/>
    </row>
    <row r="444">
      <c r="H444" s="113"/>
    </row>
    <row r="445">
      <c r="H445" s="113"/>
    </row>
    <row r="446">
      <c r="H446" s="113"/>
    </row>
    <row r="447">
      <c r="H447" s="113"/>
    </row>
    <row r="448">
      <c r="H448" s="113"/>
    </row>
    <row r="449">
      <c r="H449" s="113"/>
    </row>
    <row r="450">
      <c r="H450" s="113"/>
    </row>
    <row r="451">
      <c r="H451" s="113"/>
    </row>
    <row r="452">
      <c r="H452" s="113"/>
    </row>
    <row r="453">
      <c r="H453" s="113"/>
    </row>
    <row r="454">
      <c r="H454" s="113"/>
    </row>
    <row r="455">
      <c r="H455" s="113"/>
    </row>
    <row r="456">
      <c r="H456" s="113"/>
    </row>
    <row r="457">
      <c r="H457" s="113"/>
    </row>
    <row r="458">
      <c r="H458" s="113"/>
    </row>
    <row r="459">
      <c r="H459" s="113"/>
    </row>
    <row r="460">
      <c r="H460" s="113"/>
    </row>
    <row r="461">
      <c r="H461" s="113"/>
    </row>
    <row r="462">
      <c r="H462" s="113"/>
    </row>
    <row r="463">
      <c r="H463" s="113"/>
    </row>
    <row r="464">
      <c r="H464" s="113"/>
    </row>
    <row r="465">
      <c r="H465" s="113"/>
    </row>
    <row r="466">
      <c r="H466" s="113"/>
    </row>
    <row r="467">
      <c r="H467" s="113"/>
    </row>
    <row r="468">
      <c r="H468" s="113"/>
    </row>
    <row r="469">
      <c r="H469" s="113"/>
    </row>
    <row r="470">
      <c r="H470" s="113"/>
    </row>
    <row r="471">
      <c r="H471" s="113"/>
    </row>
    <row r="472">
      <c r="H472" s="113"/>
    </row>
    <row r="473">
      <c r="H473" s="113"/>
    </row>
    <row r="474">
      <c r="H474" s="113"/>
    </row>
    <row r="475">
      <c r="H475" s="113"/>
    </row>
    <row r="476">
      <c r="H476" s="113"/>
    </row>
    <row r="477">
      <c r="H477" s="113"/>
    </row>
    <row r="478">
      <c r="H478" s="113"/>
    </row>
    <row r="479">
      <c r="H479" s="113"/>
    </row>
    <row r="480">
      <c r="H480" s="113"/>
    </row>
    <row r="481">
      <c r="H481" s="113"/>
    </row>
    <row r="482">
      <c r="H482" s="113"/>
    </row>
    <row r="483">
      <c r="H483" s="113"/>
    </row>
    <row r="484">
      <c r="H484" s="113"/>
    </row>
    <row r="485">
      <c r="H485" s="113"/>
    </row>
    <row r="486">
      <c r="H486" s="113"/>
    </row>
    <row r="487">
      <c r="H487" s="113"/>
    </row>
    <row r="488">
      <c r="H488" s="113"/>
    </row>
    <row r="489">
      <c r="H489" s="113"/>
    </row>
    <row r="490">
      <c r="H490" s="113"/>
    </row>
    <row r="491">
      <c r="H491" s="113"/>
    </row>
    <row r="492">
      <c r="H492" s="113"/>
    </row>
    <row r="493">
      <c r="H493" s="113"/>
    </row>
    <row r="494">
      <c r="H494" s="113"/>
    </row>
    <row r="495">
      <c r="H495" s="113"/>
    </row>
    <row r="496">
      <c r="H496" s="113"/>
    </row>
    <row r="497">
      <c r="H497" s="113"/>
    </row>
    <row r="498">
      <c r="H498" s="113"/>
    </row>
    <row r="499">
      <c r="H499" s="113"/>
    </row>
    <row r="500">
      <c r="H500" s="113"/>
    </row>
    <row r="501">
      <c r="H501" s="113"/>
    </row>
    <row r="502">
      <c r="H502" s="113"/>
    </row>
    <row r="503">
      <c r="H503" s="113"/>
    </row>
    <row r="504">
      <c r="H504" s="113"/>
    </row>
    <row r="505">
      <c r="H505" s="113"/>
    </row>
    <row r="506">
      <c r="H506" s="113"/>
    </row>
    <row r="507">
      <c r="H507" s="113"/>
    </row>
    <row r="508">
      <c r="H508" s="113"/>
    </row>
    <row r="509">
      <c r="H509" s="113"/>
    </row>
    <row r="510">
      <c r="H510" s="113"/>
    </row>
    <row r="511">
      <c r="H511" s="113"/>
    </row>
    <row r="512">
      <c r="H512" s="113"/>
    </row>
    <row r="513">
      <c r="H513" s="113"/>
    </row>
    <row r="514">
      <c r="H514" s="113"/>
    </row>
    <row r="515">
      <c r="H515" s="113"/>
    </row>
    <row r="516">
      <c r="H516" s="113"/>
    </row>
    <row r="517">
      <c r="H517" s="113"/>
    </row>
    <row r="518">
      <c r="H518" s="113"/>
    </row>
    <row r="519">
      <c r="H519" s="113"/>
    </row>
    <row r="520">
      <c r="H520" s="113"/>
    </row>
    <row r="521">
      <c r="H521" s="113"/>
    </row>
    <row r="522">
      <c r="H522" s="113"/>
    </row>
    <row r="523">
      <c r="H523" s="113"/>
    </row>
    <row r="524">
      <c r="H524" s="113"/>
    </row>
    <row r="525">
      <c r="H525" s="113"/>
    </row>
    <row r="526">
      <c r="H526" s="113"/>
    </row>
    <row r="527">
      <c r="H527" s="113"/>
    </row>
    <row r="528">
      <c r="H528" s="113"/>
    </row>
    <row r="529">
      <c r="H529" s="113"/>
    </row>
    <row r="530">
      <c r="H530" s="113"/>
    </row>
    <row r="531">
      <c r="H531" s="113"/>
    </row>
    <row r="532">
      <c r="H532" s="113"/>
    </row>
    <row r="533">
      <c r="H533" s="113"/>
    </row>
    <row r="534">
      <c r="H534" s="113"/>
    </row>
    <row r="535">
      <c r="H535" s="113"/>
    </row>
    <row r="536">
      <c r="H536" s="113"/>
    </row>
    <row r="537">
      <c r="H537" s="113"/>
    </row>
    <row r="538">
      <c r="H538" s="113"/>
    </row>
    <row r="539">
      <c r="H539" s="113"/>
    </row>
    <row r="540">
      <c r="H540" s="113"/>
    </row>
    <row r="541">
      <c r="H541" s="113"/>
    </row>
    <row r="542">
      <c r="H542" s="113"/>
    </row>
    <row r="543">
      <c r="H543" s="113"/>
    </row>
    <row r="544">
      <c r="H544" s="113"/>
    </row>
    <row r="545">
      <c r="H545" s="113"/>
    </row>
    <row r="546">
      <c r="H546" s="113"/>
    </row>
    <row r="547">
      <c r="H547" s="113"/>
    </row>
    <row r="548">
      <c r="H548" s="113"/>
    </row>
    <row r="549">
      <c r="H549" s="113"/>
    </row>
    <row r="550">
      <c r="H550" s="113"/>
    </row>
    <row r="551">
      <c r="H551" s="113"/>
    </row>
    <row r="552">
      <c r="H552" s="113"/>
    </row>
    <row r="553">
      <c r="H553" s="113"/>
    </row>
    <row r="554">
      <c r="H554" s="113"/>
    </row>
    <row r="555">
      <c r="H555" s="113"/>
    </row>
    <row r="556">
      <c r="H556" s="113"/>
    </row>
    <row r="557">
      <c r="H557" s="113"/>
    </row>
    <row r="558">
      <c r="H558" s="113"/>
    </row>
    <row r="559">
      <c r="H559" s="113"/>
    </row>
    <row r="560">
      <c r="H560" s="113"/>
    </row>
    <row r="561">
      <c r="H561" s="113"/>
    </row>
    <row r="562">
      <c r="H562" s="113"/>
    </row>
    <row r="563">
      <c r="H563" s="113"/>
    </row>
    <row r="564">
      <c r="H564" s="113"/>
    </row>
    <row r="565">
      <c r="H565" s="113"/>
    </row>
    <row r="566">
      <c r="H566" s="113"/>
    </row>
    <row r="567">
      <c r="H567" s="113"/>
    </row>
    <row r="568">
      <c r="H568" s="113"/>
    </row>
    <row r="569">
      <c r="H569" s="113"/>
    </row>
    <row r="570">
      <c r="H570" s="113"/>
    </row>
    <row r="571">
      <c r="H571" s="113"/>
    </row>
    <row r="572">
      <c r="H572" s="113"/>
    </row>
    <row r="573">
      <c r="H573" s="113"/>
    </row>
    <row r="574">
      <c r="H574" s="113"/>
    </row>
    <row r="575">
      <c r="H575" s="113"/>
    </row>
    <row r="576">
      <c r="H576" s="113"/>
    </row>
    <row r="577">
      <c r="H577" s="113"/>
    </row>
    <row r="578">
      <c r="H578" s="113"/>
    </row>
    <row r="579">
      <c r="H579" s="113"/>
    </row>
    <row r="580">
      <c r="H580" s="113"/>
    </row>
    <row r="581">
      <c r="H581" s="113"/>
    </row>
    <row r="582">
      <c r="H582" s="113"/>
    </row>
    <row r="583">
      <c r="H583" s="113"/>
    </row>
    <row r="584">
      <c r="H584" s="113"/>
    </row>
    <row r="585">
      <c r="H585" s="113"/>
    </row>
    <row r="586">
      <c r="H586" s="113"/>
    </row>
    <row r="587">
      <c r="H587" s="113"/>
    </row>
    <row r="588">
      <c r="H588" s="113"/>
    </row>
    <row r="589">
      <c r="H589" s="113"/>
    </row>
    <row r="590">
      <c r="H590" s="113"/>
    </row>
    <row r="591">
      <c r="H591" s="113"/>
    </row>
    <row r="592">
      <c r="H592" s="113"/>
    </row>
    <row r="593">
      <c r="H593" s="113"/>
    </row>
    <row r="594">
      <c r="H594" s="113"/>
    </row>
    <row r="595">
      <c r="H595" s="113"/>
    </row>
    <row r="596">
      <c r="H596" s="113"/>
    </row>
    <row r="597">
      <c r="H597" s="113"/>
    </row>
    <row r="598">
      <c r="H598" s="113"/>
    </row>
    <row r="599">
      <c r="H599" s="113"/>
    </row>
    <row r="600">
      <c r="H600" s="113"/>
    </row>
    <row r="601">
      <c r="H601" s="113"/>
    </row>
    <row r="602">
      <c r="H602" s="113"/>
    </row>
    <row r="603">
      <c r="H603" s="113"/>
    </row>
    <row r="604">
      <c r="H604" s="113"/>
    </row>
    <row r="605">
      <c r="H605" s="113"/>
    </row>
    <row r="606">
      <c r="H606" s="113"/>
    </row>
    <row r="607">
      <c r="H607" s="113"/>
    </row>
    <row r="608">
      <c r="H608" s="113"/>
    </row>
    <row r="609">
      <c r="H609" s="113"/>
    </row>
    <row r="610">
      <c r="H610" s="113"/>
    </row>
    <row r="611">
      <c r="H611" s="113"/>
    </row>
    <row r="612">
      <c r="H612" s="113"/>
    </row>
    <row r="613">
      <c r="H613" s="113"/>
    </row>
    <row r="614">
      <c r="H614" s="113"/>
    </row>
    <row r="615">
      <c r="H615" s="113"/>
    </row>
    <row r="616">
      <c r="H616" s="113"/>
    </row>
    <row r="617">
      <c r="H617" s="113"/>
    </row>
    <row r="618">
      <c r="H618" s="113"/>
    </row>
    <row r="619">
      <c r="H619" s="113"/>
    </row>
    <row r="620">
      <c r="H620" s="113"/>
    </row>
    <row r="621">
      <c r="H621" s="113"/>
    </row>
    <row r="622">
      <c r="H622" s="113"/>
    </row>
    <row r="623">
      <c r="H623" s="113"/>
    </row>
    <row r="624">
      <c r="H624" s="113"/>
    </row>
    <row r="625">
      <c r="H625" s="113"/>
    </row>
    <row r="626">
      <c r="H626" s="113"/>
    </row>
    <row r="627">
      <c r="H627" s="113"/>
    </row>
    <row r="628">
      <c r="H628" s="113"/>
    </row>
    <row r="629">
      <c r="H629" s="113"/>
    </row>
    <row r="630">
      <c r="H630" s="113"/>
    </row>
    <row r="631">
      <c r="H631" s="113"/>
    </row>
    <row r="632">
      <c r="H632" s="113"/>
    </row>
    <row r="633">
      <c r="H633" s="113"/>
    </row>
    <row r="634">
      <c r="H634" s="113"/>
    </row>
    <row r="635">
      <c r="H635" s="113"/>
    </row>
    <row r="636">
      <c r="H636" s="113"/>
    </row>
    <row r="637">
      <c r="H637" s="113"/>
    </row>
    <row r="638">
      <c r="H638" s="113"/>
    </row>
    <row r="639">
      <c r="H639" s="113"/>
    </row>
    <row r="640">
      <c r="H640" s="113"/>
    </row>
    <row r="641">
      <c r="H641" s="113"/>
    </row>
    <row r="642">
      <c r="H642" s="113"/>
    </row>
    <row r="643">
      <c r="H643" s="113"/>
    </row>
    <row r="644">
      <c r="H644" s="113"/>
    </row>
    <row r="645">
      <c r="H645" s="113"/>
    </row>
    <row r="646">
      <c r="H646" s="113"/>
    </row>
    <row r="647">
      <c r="H647" s="113"/>
    </row>
    <row r="648">
      <c r="H648" s="113"/>
    </row>
    <row r="649">
      <c r="H649" s="113"/>
    </row>
    <row r="650">
      <c r="H650" s="113"/>
    </row>
    <row r="651">
      <c r="H651" s="113"/>
    </row>
    <row r="652">
      <c r="H652" s="113"/>
    </row>
    <row r="653">
      <c r="H653" s="113"/>
    </row>
    <row r="654">
      <c r="H654" s="113"/>
    </row>
    <row r="655">
      <c r="H655" s="113"/>
    </row>
    <row r="656">
      <c r="H656" s="113"/>
    </row>
    <row r="657">
      <c r="H657" s="113"/>
    </row>
    <row r="658">
      <c r="H658" s="113"/>
    </row>
    <row r="659">
      <c r="H659" s="113"/>
    </row>
    <row r="660">
      <c r="H660" s="113"/>
    </row>
    <row r="661">
      <c r="H661" s="113"/>
    </row>
    <row r="662">
      <c r="H662" s="113"/>
    </row>
    <row r="663">
      <c r="H663" s="113"/>
    </row>
    <row r="664">
      <c r="H664" s="113"/>
    </row>
    <row r="665">
      <c r="H665" s="113"/>
    </row>
    <row r="666">
      <c r="H666" s="113"/>
    </row>
    <row r="667">
      <c r="H667" s="113"/>
    </row>
    <row r="668">
      <c r="H668" s="113"/>
    </row>
    <row r="669">
      <c r="H669" s="113"/>
    </row>
    <row r="670">
      <c r="H670" s="113"/>
    </row>
    <row r="671">
      <c r="H671" s="113"/>
    </row>
    <row r="672">
      <c r="H672" s="113"/>
    </row>
    <row r="673">
      <c r="H673" s="113"/>
    </row>
    <row r="674">
      <c r="H674" s="113"/>
    </row>
    <row r="675">
      <c r="H675" s="113"/>
    </row>
    <row r="676">
      <c r="H676" s="113"/>
    </row>
    <row r="677">
      <c r="H677" s="113"/>
    </row>
    <row r="678">
      <c r="H678" s="113"/>
    </row>
    <row r="679">
      <c r="H679" s="113"/>
    </row>
    <row r="680">
      <c r="H680" s="113"/>
    </row>
    <row r="681">
      <c r="H681" s="113"/>
    </row>
    <row r="682">
      <c r="H682" s="113"/>
    </row>
    <row r="683">
      <c r="H683" s="113"/>
    </row>
    <row r="684">
      <c r="H684" s="113"/>
    </row>
    <row r="685">
      <c r="H685" s="113"/>
    </row>
    <row r="686">
      <c r="H686" s="113"/>
    </row>
    <row r="687">
      <c r="H687" s="113"/>
    </row>
    <row r="688">
      <c r="H688" s="113"/>
    </row>
    <row r="689">
      <c r="H689" s="113"/>
    </row>
    <row r="690">
      <c r="H690" s="113"/>
    </row>
    <row r="691">
      <c r="H691" s="113"/>
    </row>
    <row r="692">
      <c r="H692" s="113"/>
    </row>
    <row r="693">
      <c r="H693" s="113"/>
    </row>
    <row r="694">
      <c r="H694" s="113"/>
    </row>
    <row r="695">
      <c r="H695" s="113"/>
    </row>
    <row r="696">
      <c r="H696" s="113"/>
    </row>
    <row r="697">
      <c r="H697" s="113"/>
    </row>
    <row r="698">
      <c r="H698" s="113"/>
    </row>
    <row r="699">
      <c r="H699" s="113"/>
    </row>
    <row r="700">
      <c r="H700" s="113"/>
    </row>
    <row r="701">
      <c r="H701" s="113"/>
    </row>
    <row r="702">
      <c r="H702" s="113"/>
    </row>
    <row r="703">
      <c r="H703" s="113"/>
    </row>
    <row r="704">
      <c r="H704" s="113"/>
    </row>
    <row r="705">
      <c r="H705" s="113"/>
    </row>
    <row r="706">
      <c r="H706" s="113"/>
    </row>
    <row r="707">
      <c r="H707" s="113"/>
    </row>
    <row r="708">
      <c r="H708" s="113"/>
    </row>
    <row r="709">
      <c r="H709" s="113"/>
    </row>
    <row r="710">
      <c r="H710" s="113"/>
    </row>
    <row r="711">
      <c r="H711" s="113"/>
    </row>
    <row r="712">
      <c r="H712" s="113"/>
    </row>
    <row r="713">
      <c r="H713" s="113"/>
    </row>
    <row r="714">
      <c r="H714" s="113"/>
    </row>
    <row r="715">
      <c r="H715" s="113"/>
    </row>
    <row r="716">
      <c r="H716" s="113"/>
    </row>
    <row r="717">
      <c r="H717" s="113"/>
    </row>
    <row r="718">
      <c r="H718" s="113"/>
    </row>
    <row r="719">
      <c r="H719" s="113"/>
    </row>
    <row r="720">
      <c r="H720" s="113"/>
    </row>
    <row r="721">
      <c r="H721" s="113"/>
    </row>
    <row r="722">
      <c r="H722" s="113"/>
    </row>
    <row r="723">
      <c r="H723" s="113"/>
    </row>
    <row r="724">
      <c r="H724" s="113"/>
    </row>
    <row r="725">
      <c r="H725" s="113"/>
    </row>
    <row r="726">
      <c r="H726" s="113"/>
    </row>
    <row r="727">
      <c r="H727" s="113"/>
    </row>
    <row r="728">
      <c r="H728" s="113"/>
    </row>
    <row r="729">
      <c r="H729" s="113"/>
    </row>
    <row r="730">
      <c r="H730" s="113"/>
    </row>
    <row r="731">
      <c r="H731" s="113"/>
    </row>
    <row r="732">
      <c r="H732" s="113"/>
    </row>
    <row r="733">
      <c r="H733" s="113"/>
    </row>
    <row r="734">
      <c r="H734" s="113"/>
    </row>
    <row r="735">
      <c r="H735" s="113"/>
    </row>
    <row r="736">
      <c r="H736" s="113"/>
    </row>
    <row r="737">
      <c r="H737" s="113"/>
    </row>
    <row r="738">
      <c r="H738" s="113"/>
    </row>
    <row r="739">
      <c r="H739" s="113"/>
    </row>
    <row r="740">
      <c r="H740" s="113"/>
    </row>
    <row r="741">
      <c r="H741" s="113"/>
    </row>
    <row r="742">
      <c r="H742" s="113"/>
    </row>
    <row r="743">
      <c r="H743" s="113"/>
    </row>
    <row r="744">
      <c r="H744" s="113"/>
    </row>
    <row r="745">
      <c r="H745" s="113"/>
    </row>
    <row r="746">
      <c r="H746" s="113"/>
    </row>
    <row r="747">
      <c r="H747" s="113"/>
    </row>
    <row r="748">
      <c r="H748" s="113"/>
    </row>
    <row r="749">
      <c r="H749" s="113"/>
    </row>
    <row r="750">
      <c r="H750" s="113"/>
    </row>
    <row r="751">
      <c r="H751" s="113"/>
    </row>
    <row r="752">
      <c r="H752" s="113"/>
    </row>
    <row r="753">
      <c r="H753" s="113"/>
    </row>
    <row r="754">
      <c r="H754" s="113"/>
    </row>
    <row r="755">
      <c r="H755" s="113"/>
    </row>
    <row r="756">
      <c r="H756" s="113"/>
    </row>
    <row r="757">
      <c r="H757" s="113"/>
    </row>
    <row r="758">
      <c r="H758" s="113"/>
    </row>
    <row r="759">
      <c r="H759" s="113"/>
    </row>
    <row r="760">
      <c r="H760" s="113"/>
    </row>
    <row r="761">
      <c r="H761" s="113"/>
    </row>
    <row r="762">
      <c r="H762" s="113"/>
    </row>
    <row r="763">
      <c r="H763" s="113"/>
    </row>
    <row r="764">
      <c r="H764" s="113"/>
    </row>
    <row r="765">
      <c r="H765" s="113"/>
    </row>
    <row r="766">
      <c r="H766" s="113"/>
    </row>
    <row r="767">
      <c r="H767" s="113"/>
    </row>
    <row r="768">
      <c r="H768" s="113"/>
    </row>
    <row r="769">
      <c r="H769" s="113"/>
    </row>
    <row r="770">
      <c r="H770" s="113"/>
    </row>
    <row r="771">
      <c r="H771" s="113"/>
    </row>
    <row r="772">
      <c r="H772" s="113"/>
    </row>
    <row r="773">
      <c r="H773" s="113"/>
    </row>
    <row r="774">
      <c r="H774" s="113"/>
    </row>
    <row r="775">
      <c r="H775" s="113"/>
    </row>
    <row r="776">
      <c r="H776" s="113"/>
    </row>
    <row r="777">
      <c r="H777" s="113"/>
    </row>
    <row r="778">
      <c r="H778" s="113"/>
    </row>
    <row r="779">
      <c r="H779" s="113"/>
    </row>
    <row r="780">
      <c r="H780" s="113"/>
    </row>
    <row r="781">
      <c r="H781" s="113"/>
    </row>
    <row r="782">
      <c r="H782" s="113"/>
    </row>
    <row r="783">
      <c r="H783" s="113"/>
    </row>
    <row r="784">
      <c r="H784" s="113"/>
    </row>
    <row r="785">
      <c r="H785" s="113"/>
    </row>
    <row r="786">
      <c r="H786" s="113"/>
    </row>
    <row r="787">
      <c r="H787" s="113"/>
    </row>
    <row r="788">
      <c r="H788" s="113"/>
    </row>
    <row r="789">
      <c r="H789" s="113"/>
    </row>
    <row r="790">
      <c r="H790" s="113"/>
    </row>
    <row r="791">
      <c r="H791" s="113"/>
    </row>
    <row r="792">
      <c r="H792" s="113"/>
    </row>
    <row r="793">
      <c r="H793" s="113"/>
    </row>
    <row r="794">
      <c r="H794" s="113"/>
    </row>
    <row r="795">
      <c r="H795" s="113"/>
    </row>
    <row r="796">
      <c r="H796" s="113"/>
    </row>
    <row r="797">
      <c r="H797" s="113"/>
    </row>
    <row r="798">
      <c r="H798" s="113"/>
    </row>
    <row r="799">
      <c r="H799" s="113"/>
    </row>
    <row r="800">
      <c r="H800" s="113"/>
    </row>
    <row r="801">
      <c r="H801" s="113"/>
    </row>
    <row r="802">
      <c r="H802" s="113"/>
    </row>
    <row r="803">
      <c r="H803" s="113"/>
    </row>
    <row r="804">
      <c r="H804" s="113"/>
    </row>
    <row r="805">
      <c r="H805" s="113"/>
    </row>
    <row r="806">
      <c r="H806" s="113"/>
    </row>
    <row r="807">
      <c r="H807" s="113"/>
    </row>
    <row r="808">
      <c r="H808" s="113"/>
    </row>
    <row r="809">
      <c r="H809" s="113"/>
    </row>
    <row r="810">
      <c r="H810" s="113"/>
    </row>
    <row r="811">
      <c r="H811" s="113"/>
    </row>
    <row r="812">
      <c r="H812" s="113"/>
    </row>
    <row r="813">
      <c r="H813" s="113"/>
    </row>
    <row r="814">
      <c r="H814" s="113"/>
    </row>
    <row r="815">
      <c r="H815" s="113"/>
    </row>
    <row r="816">
      <c r="H816" s="113"/>
    </row>
    <row r="817">
      <c r="H817" s="113"/>
    </row>
    <row r="818">
      <c r="H818" s="113"/>
    </row>
    <row r="819">
      <c r="H819" s="113"/>
    </row>
    <row r="820">
      <c r="H820" s="113"/>
    </row>
    <row r="821">
      <c r="H821" s="113"/>
    </row>
    <row r="822">
      <c r="H822" s="113"/>
    </row>
    <row r="823">
      <c r="H823" s="113"/>
    </row>
    <row r="824">
      <c r="H824" s="113"/>
    </row>
    <row r="825">
      <c r="H825" s="113"/>
    </row>
    <row r="826">
      <c r="H826" s="113"/>
    </row>
    <row r="827">
      <c r="H827" s="113"/>
    </row>
    <row r="828">
      <c r="H828" s="113"/>
    </row>
    <row r="829">
      <c r="H829" s="113"/>
    </row>
    <row r="830">
      <c r="H830" s="113"/>
    </row>
    <row r="831">
      <c r="H831" s="113"/>
    </row>
    <row r="832">
      <c r="H832" s="113"/>
    </row>
    <row r="833">
      <c r="H833" s="113"/>
    </row>
    <row r="834">
      <c r="H834" s="113"/>
    </row>
    <row r="835">
      <c r="H835" s="113"/>
    </row>
    <row r="836">
      <c r="H836" s="113"/>
    </row>
    <row r="837">
      <c r="H837" s="113"/>
    </row>
    <row r="838">
      <c r="H838" s="113"/>
    </row>
    <row r="839">
      <c r="H839" s="113"/>
    </row>
    <row r="840">
      <c r="H840" s="113"/>
    </row>
    <row r="841">
      <c r="H841" s="113"/>
    </row>
    <row r="842">
      <c r="H842" s="113"/>
    </row>
    <row r="843">
      <c r="H843" s="113"/>
    </row>
    <row r="844">
      <c r="H844" s="113"/>
    </row>
    <row r="845">
      <c r="H845" s="113"/>
    </row>
    <row r="846">
      <c r="H846" s="113"/>
    </row>
    <row r="847">
      <c r="H847" s="113"/>
    </row>
    <row r="848">
      <c r="H848" s="113"/>
    </row>
    <row r="849">
      <c r="H849" s="113"/>
    </row>
    <row r="850">
      <c r="H850" s="113"/>
    </row>
    <row r="851">
      <c r="H851" s="113"/>
    </row>
    <row r="852">
      <c r="H852" s="113"/>
    </row>
    <row r="853">
      <c r="H853" s="113"/>
    </row>
    <row r="854">
      <c r="H854" s="113"/>
    </row>
    <row r="855">
      <c r="H855" s="113"/>
    </row>
    <row r="856">
      <c r="H856" s="113"/>
    </row>
    <row r="857">
      <c r="H857" s="113"/>
    </row>
    <row r="858">
      <c r="H858" s="113"/>
    </row>
    <row r="859">
      <c r="H859" s="113"/>
    </row>
    <row r="860">
      <c r="H860" s="113"/>
    </row>
    <row r="861">
      <c r="H861" s="113"/>
    </row>
    <row r="862">
      <c r="H862" s="113"/>
    </row>
    <row r="863">
      <c r="H863" s="113"/>
    </row>
    <row r="864">
      <c r="H864" s="113"/>
    </row>
    <row r="865">
      <c r="H865" s="113"/>
    </row>
    <row r="866">
      <c r="H866" s="113"/>
    </row>
    <row r="867">
      <c r="H867" s="113"/>
    </row>
    <row r="868">
      <c r="H868" s="113"/>
    </row>
    <row r="869">
      <c r="H869" s="113"/>
    </row>
    <row r="870">
      <c r="H870" s="113"/>
    </row>
    <row r="871">
      <c r="H871" s="113"/>
    </row>
    <row r="872">
      <c r="H872" s="113"/>
    </row>
    <row r="873">
      <c r="H873" s="113"/>
    </row>
    <row r="874">
      <c r="H874" s="113"/>
    </row>
    <row r="875">
      <c r="H875" s="113"/>
    </row>
    <row r="876">
      <c r="H876" s="113"/>
    </row>
    <row r="877">
      <c r="H877" s="113"/>
    </row>
    <row r="878">
      <c r="H878" s="113"/>
    </row>
    <row r="879">
      <c r="H879" s="113"/>
    </row>
    <row r="880">
      <c r="H880" s="113"/>
    </row>
    <row r="881">
      <c r="H881" s="113"/>
    </row>
    <row r="882">
      <c r="H882" s="113"/>
    </row>
    <row r="883">
      <c r="H883" s="113"/>
    </row>
    <row r="884">
      <c r="H884" s="113"/>
    </row>
    <row r="885">
      <c r="H885" s="113"/>
    </row>
    <row r="886">
      <c r="H886" s="113"/>
    </row>
    <row r="887">
      <c r="H887" s="113"/>
    </row>
    <row r="888">
      <c r="H888" s="113"/>
    </row>
    <row r="889">
      <c r="H889" s="113"/>
    </row>
    <row r="890">
      <c r="H890" s="113"/>
    </row>
    <row r="891">
      <c r="H891" s="113"/>
    </row>
    <row r="892">
      <c r="H892" s="113"/>
    </row>
    <row r="893">
      <c r="H893" s="113"/>
    </row>
    <row r="894">
      <c r="H894" s="113"/>
    </row>
    <row r="895">
      <c r="H895" s="113"/>
    </row>
    <row r="896">
      <c r="H896" s="113"/>
    </row>
    <row r="897">
      <c r="H897" s="113"/>
    </row>
    <row r="898">
      <c r="H898" s="113"/>
    </row>
    <row r="899">
      <c r="H899" s="113"/>
    </row>
    <row r="900">
      <c r="H900" s="113"/>
    </row>
    <row r="901">
      <c r="H901" s="113"/>
    </row>
    <row r="902">
      <c r="H902" s="113"/>
    </row>
    <row r="903">
      <c r="H903" s="113"/>
    </row>
    <row r="904">
      <c r="H904" s="113"/>
    </row>
    <row r="905">
      <c r="H905" s="113"/>
    </row>
    <row r="906">
      <c r="H906" s="113"/>
    </row>
    <row r="907">
      <c r="H907" s="113"/>
    </row>
    <row r="908">
      <c r="H908" s="113"/>
    </row>
    <row r="909">
      <c r="H909" s="113"/>
    </row>
    <row r="910">
      <c r="H910" s="113"/>
    </row>
    <row r="911">
      <c r="H911" s="113"/>
    </row>
    <row r="912">
      <c r="H912" s="113"/>
    </row>
    <row r="913">
      <c r="H913" s="113"/>
    </row>
    <row r="914">
      <c r="H914" s="113"/>
    </row>
    <row r="915">
      <c r="H915" s="113"/>
    </row>
    <row r="916">
      <c r="H916" s="113"/>
    </row>
    <row r="917">
      <c r="H917" s="113"/>
    </row>
    <row r="918">
      <c r="H918" s="113"/>
    </row>
    <row r="919">
      <c r="H919" s="113"/>
    </row>
    <row r="920">
      <c r="H920" s="113"/>
    </row>
    <row r="921">
      <c r="H921" s="113"/>
    </row>
    <row r="922">
      <c r="H922" s="113"/>
    </row>
    <row r="923">
      <c r="H923" s="113"/>
    </row>
    <row r="924">
      <c r="H924" s="113"/>
    </row>
    <row r="925">
      <c r="H925" s="113"/>
    </row>
    <row r="926">
      <c r="H926" s="113"/>
    </row>
    <row r="927">
      <c r="H927" s="113"/>
    </row>
    <row r="928">
      <c r="H928" s="113"/>
    </row>
    <row r="929">
      <c r="H929" s="113"/>
    </row>
    <row r="930">
      <c r="H930" s="113"/>
    </row>
    <row r="931">
      <c r="H931" s="113"/>
    </row>
    <row r="932">
      <c r="H932" s="113"/>
    </row>
    <row r="933">
      <c r="H933" s="113"/>
    </row>
    <row r="934">
      <c r="H934" s="113"/>
    </row>
    <row r="935">
      <c r="H935" s="113"/>
    </row>
    <row r="936">
      <c r="H936" s="113"/>
    </row>
    <row r="937">
      <c r="H937" s="113"/>
    </row>
    <row r="938">
      <c r="H938" s="113"/>
    </row>
    <row r="939">
      <c r="H939" s="113"/>
    </row>
    <row r="940">
      <c r="H940" s="113"/>
    </row>
    <row r="941">
      <c r="H941" s="113"/>
    </row>
    <row r="942">
      <c r="H942" s="113"/>
    </row>
    <row r="943">
      <c r="H943" s="113"/>
    </row>
    <row r="944">
      <c r="H944" s="113"/>
    </row>
    <row r="945">
      <c r="H945" s="113"/>
    </row>
    <row r="946">
      <c r="H946" s="113"/>
    </row>
    <row r="947">
      <c r="H947" s="113"/>
    </row>
    <row r="948">
      <c r="H948" s="113"/>
    </row>
    <row r="949">
      <c r="H949" s="113"/>
    </row>
    <row r="950">
      <c r="H950" s="113"/>
    </row>
    <row r="951">
      <c r="H951" s="113"/>
    </row>
    <row r="952">
      <c r="H952" s="113"/>
    </row>
    <row r="953">
      <c r="H953" s="113"/>
    </row>
    <row r="954">
      <c r="H954" s="113"/>
    </row>
    <row r="955">
      <c r="H955" s="113"/>
    </row>
    <row r="956">
      <c r="H956" s="113"/>
    </row>
    <row r="957">
      <c r="H957" s="113"/>
    </row>
    <row r="958">
      <c r="H958" s="113"/>
    </row>
    <row r="959">
      <c r="H959" s="113"/>
    </row>
    <row r="960">
      <c r="H960" s="113"/>
    </row>
    <row r="961">
      <c r="H961" s="113"/>
    </row>
    <row r="962">
      <c r="H962" s="113"/>
    </row>
    <row r="963">
      <c r="H963" s="113"/>
    </row>
    <row r="964">
      <c r="H964" s="113"/>
    </row>
    <row r="965">
      <c r="H965" s="113"/>
    </row>
    <row r="966">
      <c r="H966" s="113"/>
    </row>
    <row r="967">
      <c r="H967" s="113"/>
    </row>
    <row r="968">
      <c r="H968" s="113"/>
    </row>
    <row r="969">
      <c r="H969" s="113"/>
    </row>
    <row r="970">
      <c r="H970" s="113"/>
    </row>
    <row r="971">
      <c r="H971" s="113"/>
    </row>
    <row r="972">
      <c r="H972" s="113"/>
    </row>
    <row r="973">
      <c r="H973" s="113"/>
    </row>
    <row r="974">
      <c r="H974" s="113"/>
    </row>
    <row r="975">
      <c r="H975" s="113"/>
    </row>
    <row r="976">
      <c r="H976" s="113"/>
    </row>
    <row r="977">
      <c r="H977" s="113"/>
    </row>
    <row r="978">
      <c r="H978" s="113"/>
    </row>
    <row r="979">
      <c r="H979" s="113"/>
    </row>
    <row r="980">
      <c r="H980" s="113"/>
    </row>
    <row r="981">
      <c r="H981" s="113"/>
    </row>
    <row r="982">
      <c r="H982" s="113"/>
    </row>
    <row r="983">
      <c r="H983" s="113"/>
    </row>
    <row r="984">
      <c r="H984" s="113"/>
    </row>
    <row r="985">
      <c r="H985" s="113"/>
    </row>
    <row r="986">
      <c r="H986" s="113"/>
    </row>
    <row r="987">
      <c r="H987" s="113"/>
    </row>
    <row r="988">
      <c r="H988" s="113"/>
    </row>
    <row r="989">
      <c r="H989" s="113"/>
    </row>
    <row r="990">
      <c r="H990" s="113"/>
    </row>
    <row r="991">
      <c r="H991" s="113"/>
    </row>
    <row r="992">
      <c r="H992" s="113"/>
    </row>
    <row r="993">
      <c r="H993" s="113"/>
    </row>
  </sheetData>
  <mergeCells count="1">
    <mergeCell ref="B2:G2"/>
  </mergeCells>
  <conditionalFormatting sqref="G3 G6:G8 G10:G11">
    <cfRule type="colorScale" priority="1">
      <colorScale>
        <cfvo type="percent" val="0%"/>
        <cfvo type="percent" val="50%"/>
        <cfvo type="percent" val="100%"/>
        <color rgb="FFF4CCCC"/>
        <color rgb="FFFFF2CC"/>
        <color rgb="FFD9EAD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59.63"/>
    <col customWidth="1" min="3" max="3" width="37.63"/>
    <col customWidth="1" min="4" max="5" width="12.63"/>
  </cols>
  <sheetData>
    <row r="1">
      <c r="A1" s="17" t="s">
        <v>13</v>
      </c>
      <c r="B1" s="1" t="s">
        <v>421</v>
      </c>
      <c r="C1" s="3" t="s">
        <v>2</v>
      </c>
      <c r="D1" s="3" t="s">
        <v>3</v>
      </c>
      <c r="E1" s="3" t="s">
        <v>4</v>
      </c>
      <c r="F1" s="3" t="s">
        <v>5</v>
      </c>
      <c r="G1" s="3" t="s">
        <v>6</v>
      </c>
      <c r="M1" s="144" t="s">
        <v>422</v>
      </c>
      <c r="N1" s="62" t="s">
        <v>423</v>
      </c>
      <c r="O1" s="62" t="s">
        <v>424</v>
      </c>
    </row>
    <row r="2">
      <c r="A2" s="25" t="s">
        <v>7</v>
      </c>
      <c r="B2" s="5" t="s">
        <v>425</v>
      </c>
      <c r="C2" s="6">
        <v>72.0</v>
      </c>
      <c r="D2" s="6">
        <f>1.3*24</f>
        <v>31.2</v>
      </c>
      <c r="E2" s="6">
        <v>24.0</v>
      </c>
      <c r="F2" s="7">
        <f t="shared" ref="F2:F4" si="1">(D2-C2) / (E2-C2)</f>
        <v>0.85</v>
      </c>
      <c r="G2" s="8">
        <v>46125.0</v>
      </c>
      <c r="M2" s="62" t="s">
        <v>426</v>
      </c>
      <c r="N2" s="62">
        <v>359.0</v>
      </c>
      <c r="O2" s="62">
        <v>9.5</v>
      </c>
    </row>
    <row r="3">
      <c r="A3" s="25" t="s">
        <v>11</v>
      </c>
      <c r="B3" s="5" t="s">
        <v>427</v>
      </c>
      <c r="C3" s="6">
        <v>46.0</v>
      </c>
      <c r="D3" s="6">
        <f>1/3600*21</f>
        <v>0.005833333333</v>
      </c>
      <c r="E3" s="6">
        <v>24.0</v>
      </c>
      <c r="F3" s="7">
        <f t="shared" si="1"/>
        <v>2.090643939</v>
      </c>
      <c r="G3" s="8">
        <v>46125.0</v>
      </c>
      <c r="M3" s="62" t="s">
        <v>428</v>
      </c>
      <c r="N3" s="62">
        <v>3.0</v>
      </c>
      <c r="O3" s="62">
        <v>1.0</v>
      </c>
    </row>
    <row r="4">
      <c r="A4" s="5" t="s">
        <v>18</v>
      </c>
      <c r="B4" s="5" t="s">
        <v>429</v>
      </c>
      <c r="C4" s="6">
        <v>78.0</v>
      </c>
      <c r="D4" s="6">
        <f>O5</f>
        <v>10.05594595</v>
      </c>
      <c r="E4" s="6">
        <v>24.0</v>
      </c>
      <c r="F4" s="7">
        <f t="shared" si="1"/>
        <v>1.258223223</v>
      </c>
      <c r="G4" s="8">
        <v>46125.0</v>
      </c>
      <c r="M4" s="62" t="s">
        <v>430</v>
      </c>
      <c r="N4" s="62">
        <v>8.0</v>
      </c>
      <c r="O4" s="98">
        <f>1.6*24</f>
        <v>38.4</v>
      </c>
    </row>
    <row r="5">
      <c r="A5" s="22"/>
      <c r="B5" s="22"/>
      <c r="C5" s="22"/>
      <c r="D5" s="22"/>
      <c r="E5" s="22"/>
      <c r="F5" s="22"/>
      <c r="G5" s="22"/>
      <c r="N5" s="98">
        <f>SUM(N2:N4)</f>
        <v>370</v>
      </c>
      <c r="O5" s="98">
        <f>SUMPRODUCT(O2:O4,N2:N4)/N5</f>
        <v>10.05594595</v>
      </c>
    </row>
    <row r="6">
      <c r="A6" s="28" t="s">
        <v>26</v>
      </c>
      <c r="B6" s="22"/>
      <c r="C6" s="22"/>
      <c r="D6" s="22"/>
      <c r="E6" s="22"/>
      <c r="F6" s="22"/>
      <c r="G6" s="22"/>
    </row>
    <row r="7">
      <c r="A7" s="22"/>
      <c r="B7" s="63" t="s">
        <v>431</v>
      </c>
      <c r="C7" s="22"/>
      <c r="D7" s="22"/>
      <c r="E7" s="22"/>
      <c r="F7" s="22"/>
      <c r="G7" s="22"/>
    </row>
    <row r="8">
      <c r="A8" s="22"/>
      <c r="B8" s="63" t="s">
        <v>432</v>
      </c>
      <c r="C8" s="22"/>
      <c r="D8" s="22"/>
      <c r="E8" s="22"/>
      <c r="F8" s="22"/>
      <c r="G8" s="22"/>
    </row>
    <row r="9">
      <c r="A9" s="22"/>
      <c r="B9" s="63" t="s">
        <v>433</v>
      </c>
      <c r="C9" s="22"/>
      <c r="D9" s="22"/>
      <c r="E9" s="22"/>
      <c r="F9" s="22"/>
      <c r="G9" s="22"/>
    </row>
    <row r="10">
      <c r="B10" s="62" t="s">
        <v>434</v>
      </c>
    </row>
    <row r="14">
      <c r="A14" s="17" t="s">
        <v>13</v>
      </c>
      <c r="B14" s="1" t="s">
        <v>435</v>
      </c>
      <c r="C14" s="3" t="s">
        <v>2</v>
      </c>
      <c r="D14" s="3" t="s">
        <v>3</v>
      </c>
      <c r="E14" s="3" t="s">
        <v>4</v>
      </c>
      <c r="F14" s="3" t="s">
        <v>5</v>
      </c>
      <c r="G14" s="3" t="s">
        <v>6</v>
      </c>
    </row>
    <row r="15">
      <c r="A15" s="25" t="s">
        <v>7</v>
      </c>
      <c r="B15" s="5" t="s">
        <v>436</v>
      </c>
      <c r="C15" s="6">
        <v>0.0</v>
      </c>
      <c r="D15" s="6">
        <f>SUM(D20:D21)</f>
        <v>33</v>
      </c>
      <c r="E15" s="6">
        <v>200.0</v>
      </c>
      <c r="F15" s="7">
        <f t="shared" ref="F15:F16" si="2">(D15-C15) / (E15-C15)</f>
        <v>0.165</v>
      </c>
      <c r="G15" s="8">
        <v>46125.0</v>
      </c>
    </row>
    <row r="16">
      <c r="A16" s="25" t="s">
        <v>9</v>
      </c>
      <c r="B16" s="5" t="s">
        <v>437</v>
      </c>
      <c r="C16" s="6">
        <v>0.0</v>
      </c>
      <c r="D16" s="6">
        <v>2.0</v>
      </c>
      <c r="E16" s="6">
        <v>50.0</v>
      </c>
      <c r="F16" s="7">
        <f t="shared" si="2"/>
        <v>0.04</v>
      </c>
      <c r="G16" s="8">
        <v>46125.0</v>
      </c>
      <c r="I16" s="62" t="s">
        <v>438</v>
      </c>
    </row>
    <row r="19">
      <c r="A19" s="28" t="s">
        <v>26</v>
      </c>
      <c r="B19" s="22"/>
    </row>
    <row r="20">
      <c r="A20" s="22"/>
      <c r="B20" s="62" t="s">
        <v>439</v>
      </c>
      <c r="C20" s="63" t="s">
        <v>440</v>
      </c>
      <c r="D20" s="62">
        <v>18.0</v>
      </c>
      <c r="I20" s="62" t="s">
        <v>441</v>
      </c>
    </row>
    <row r="21">
      <c r="A21" s="22"/>
      <c r="B21" s="62" t="s">
        <v>442</v>
      </c>
      <c r="C21" s="63" t="s">
        <v>443</v>
      </c>
      <c r="D21" s="62">
        <v>15.0</v>
      </c>
    </row>
    <row r="22">
      <c r="A22" s="22"/>
      <c r="B22" s="62" t="s">
        <v>444</v>
      </c>
      <c r="C22" s="63" t="s">
        <v>445</v>
      </c>
      <c r="D22" s="62">
        <v>4.0</v>
      </c>
      <c r="I22" s="62" t="s">
        <v>446</v>
      </c>
    </row>
    <row r="28">
      <c r="A28" s="62" t="s">
        <v>447</v>
      </c>
    </row>
    <row r="30" ht="22.5" customHeight="1">
      <c r="A30" s="145" t="s">
        <v>448</v>
      </c>
      <c r="B30" s="146" t="s">
        <v>449</v>
      </c>
      <c r="C30" s="146" t="s">
        <v>450</v>
      </c>
    </row>
    <row r="31" ht="22.5" customHeight="1">
      <c r="A31" s="147" t="s">
        <v>451</v>
      </c>
      <c r="B31" s="148" t="s">
        <v>452</v>
      </c>
      <c r="C31" s="148" t="s">
        <v>452</v>
      </c>
    </row>
    <row r="32" ht="22.5" customHeight="1">
      <c r="A32" s="147" t="s">
        <v>453</v>
      </c>
      <c r="B32" s="148" t="s">
        <v>454</v>
      </c>
      <c r="C32" s="148" t="s">
        <v>455</v>
      </c>
    </row>
    <row r="33" ht="22.5" customHeight="1">
      <c r="A33" s="147" t="s">
        <v>456</v>
      </c>
      <c r="B33" s="148" t="s">
        <v>457</v>
      </c>
      <c r="C33" s="148" t="s">
        <v>458</v>
      </c>
    </row>
  </sheetData>
  <drawing r:id="rId4"/>
  <legacy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38"/>
  </cols>
  <sheetData>
    <row r="1">
      <c r="A1" s="17" t="s">
        <v>13</v>
      </c>
      <c r="B1" s="1" t="s">
        <v>459</v>
      </c>
      <c r="C1" s="3" t="s">
        <v>2</v>
      </c>
      <c r="D1" s="3" t="s">
        <v>3</v>
      </c>
      <c r="E1" s="3" t="s">
        <v>4</v>
      </c>
      <c r="F1" s="3" t="s">
        <v>5</v>
      </c>
      <c r="G1" s="3" t="s">
        <v>6</v>
      </c>
    </row>
    <row r="2">
      <c r="A2" s="25" t="s">
        <v>7</v>
      </c>
      <c r="B2" s="101" t="s">
        <v>460</v>
      </c>
      <c r="C2" s="19">
        <v>0.0</v>
      </c>
      <c r="D2" s="19">
        <v>0.0</v>
      </c>
      <c r="E2" s="51">
        <v>50.0</v>
      </c>
      <c r="F2" s="7">
        <f t="shared" ref="F2:F4" si="1">(D2-C2) / (E2-C2)</f>
        <v>0</v>
      </c>
      <c r="G2" s="27">
        <v>46023.0</v>
      </c>
    </row>
    <row r="3">
      <c r="A3" s="25" t="s">
        <v>9</v>
      </c>
      <c r="B3" s="101" t="s">
        <v>461</v>
      </c>
      <c r="C3" s="19">
        <v>0.0</v>
      </c>
      <c r="D3" s="19">
        <v>0.0</v>
      </c>
      <c r="E3" s="51">
        <v>100.0</v>
      </c>
      <c r="F3" s="7">
        <f t="shared" si="1"/>
        <v>0</v>
      </c>
      <c r="G3" s="27">
        <v>46023.0</v>
      </c>
    </row>
    <row r="4">
      <c r="A4" s="5" t="s">
        <v>11</v>
      </c>
      <c r="B4" s="101" t="s">
        <v>462</v>
      </c>
      <c r="C4" s="19">
        <v>0.0</v>
      </c>
      <c r="D4" s="19">
        <v>0.0</v>
      </c>
      <c r="E4" s="51">
        <v>100.0</v>
      </c>
      <c r="F4" s="7">
        <f t="shared" si="1"/>
        <v>0</v>
      </c>
      <c r="G4" s="27">
        <v>46023.0</v>
      </c>
    </row>
    <row r="6">
      <c r="A6" s="28" t="s">
        <v>26</v>
      </c>
      <c r="B6" s="22"/>
      <c r="C6" s="22"/>
      <c r="D6" s="22"/>
      <c r="E6" s="22"/>
      <c r="F6" s="22"/>
      <c r="G6" s="22"/>
    </row>
    <row r="7">
      <c r="A7" s="22"/>
      <c r="B7" s="63" t="s">
        <v>463</v>
      </c>
      <c r="C7" s="22"/>
      <c r="D7" s="22"/>
      <c r="E7" s="22"/>
      <c r="F7" s="22"/>
      <c r="G7" s="22"/>
    </row>
    <row r="8">
      <c r="A8" s="22"/>
      <c r="B8" s="63" t="s">
        <v>464</v>
      </c>
      <c r="C8" s="22"/>
      <c r="D8" s="22"/>
      <c r="E8" s="22"/>
      <c r="F8" s="22"/>
      <c r="G8" s="22"/>
    </row>
    <row r="9">
      <c r="A9" s="22"/>
      <c r="B9" s="62" t="s">
        <v>465</v>
      </c>
      <c r="C9" s="22"/>
      <c r="D9" s="22"/>
      <c r="E9" s="22"/>
      <c r="F9" s="22"/>
      <c r="G9" s="22"/>
    </row>
    <row r="10">
      <c r="A10" s="22"/>
      <c r="B10" s="22"/>
      <c r="C10" s="22"/>
      <c r="D10" s="22"/>
      <c r="E10" s="22"/>
      <c r="F10" s="22"/>
      <c r="G10" s="22"/>
    </row>
    <row r="11">
      <c r="A11" s="17" t="s">
        <v>13</v>
      </c>
      <c r="B11" s="149" t="s">
        <v>466</v>
      </c>
      <c r="C11" s="3" t="s">
        <v>2</v>
      </c>
      <c r="D11" s="3" t="s">
        <v>3</v>
      </c>
      <c r="E11" s="3" t="s">
        <v>4</v>
      </c>
      <c r="F11" s="3" t="s">
        <v>5</v>
      </c>
      <c r="G11" s="3" t="s">
        <v>6</v>
      </c>
    </row>
    <row r="12">
      <c r="A12" s="25" t="s">
        <v>7</v>
      </c>
      <c r="B12" s="101" t="s">
        <v>467</v>
      </c>
      <c r="C12" s="6">
        <v>26000.0</v>
      </c>
      <c r="D12" s="6">
        <v>26000.0</v>
      </c>
      <c r="E12" s="51">
        <v>30000.0</v>
      </c>
      <c r="F12" s="7">
        <f t="shared" ref="F12:F13" si="2">(D12-C12) / (E12-C12)</f>
        <v>0</v>
      </c>
      <c r="G12" s="27">
        <v>46023.0</v>
      </c>
    </row>
    <row r="13">
      <c r="A13" s="25" t="s">
        <v>9</v>
      </c>
      <c r="B13" s="101" t="s">
        <v>468</v>
      </c>
      <c r="C13" s="19">
        <v>0.0</v>
      </c>
      <c r="D13" s="19">
        <v>0.0</v>
      </c>
      <c r="E13" s="51">
        <v>100.0</v>
      </c>
      <c r="F13" s="7">
        <f t="shared" si="2"/>
        <v>0</v>
      </c>
      <c r="G13" s="27">
        <v>46023.0</v>
      </c>
    </row>
    <row r="15">
      <c r="A15" s="28" t="s">
        <v>26</v>
      </c>
      <c r="B15" s="22"/>
      <c r="C15" s="150"/>
      <c r="D15" s="150"/>
      <c r="E15" s="151"/>
      <c r="F15" s="152"/>
      <c r="G15" s="153"/>
    </row>
    <row r="16">
      <c r="A16" s="22"/>
      <c r="B16" s="62" t="s">
        <v>469</v>
      </c>
      <c r="C16" s="150"/>
      <c r="D16" s="150"/>
      <c r="E16" s="151"/>
      <c r="F16" s="152"/>
      <c r="G16" s="153"/>
    </row>
    <row r="17">
      <c r="A17" s="22"/>
      <c r="B17" s="62" t="s">
        <v>470</v>
      </c>
    </row>
    <row r="18">
      <c r="A18" s="22"/>
      <c r="B18" s="62" t="s">
        <v>471</v>
      </c>
    </row>
    <row r="19">
      <c r="B19" s="63" t="s">
        <v>472</v>
      </c>
    </row>
    <row r="20">
      <c r="B20" s="62" t="s">
        <v>473</v>
      </c>
    </row>
    <row r="21">
      <c r="B21" s="63" t="s">
        <v>474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54.63"/>
  </cols>
  <sheetData>
    <row r="1">
      <c r="A1" s="22"/>
      <c r="B1" s="22"/>
      <c r="C1" s="22"/>
      <c r="D1" s="22"/>
      <c r="E1" s="22"/>
      <c r="F1" s="22"/>
      <c r="G1" s="22"/>
    </row>
    <row r="2">
      <c r="A2" s="17" t="s">
        <v>475</v>
      </c>
      <c r="B2" s="1" t="s">
        <v>476</v>
      </c>
      <c r="C2" s="3" t="s">
        <v>2</v>
      </c>
      <c r="D2" s="3" t="s">
        <v>3</v>
      </c>
      <c r="E2" s="57" t="s">
        <v>4</v>
      </c>
      <c r="F2" s="3" t="s">
        <v>5</v>
      </c>
      <c r="G2" s="3" t="s">
        <v>6</v>
      </c>
    </row>
    <row r="3">
      <c r="A3" s="25" t="s">
        <v>7</v>
      </c>
      <c r="B3" s="5" t="s">
        <v>477</v>
      </c>
      <c r="C3" s="6">
        <v>1.0</v>
      </c>
      <c r="D3" s="6">
        <v>3.0</v>
      </c>
      <c r="E3" s="6">
        <v>10.0</v>
      </c>
      <c r="F3" s="7">
        <f t="shared" ref="F3:F4" si="1">(D3-C3) / (E3-C3)</f>
        <v>0.2222222222</v>
      </c>
      <c r="G3" s="8">
        <v>46127.0</v>
      </c>
    </row>
    <row r="4">
      <c r="A4" s="25" t="s">
        <v>9</v>
      </c>
      <c r="B4" s="5" t="s">
        <v>478</v>
      </c>
      <c r="C4" s="19">
        <v>0.0</v>
      </c>
      <c r="D4" s="19">
        <v>0.0</v>
      </c>
      <c r="E4" s="6">
        <v>10.0</v>
      </c>
      <c r="F4" s="7">
        <f t="shared" si="1"/>
        <v>0</v>
      </c>
      <c r="G4" s="8">
        <v>46127.0</v>
      </c>
    </row>
    <row r="5">
      <c r="A5" s="22"/>
      <c r="B5" s="22"/>
      <c r="C5" s="22"/>
      <c r="D5" s="22"/>
      <c r="E5" s="22"/>
      <c r="F5" s="22"/>
      <c r="G5" s="22"/>
    </row>
    <row r="6" collapsed="1">
      <c r="A6" s="129" t="s">
        <v>479</v>
      </c>
      <c r="B6" s="22"/>
      <c r="C6" s="22"/>
      <c r="D6" s="22"/>
      <c r="E6" s="22"/>
      <c r="F6" s="22"/>
      <c r="G6" s="22"/>
    </row>
    <row r="7" hidden="1" outlineLevel="1">
      <c r="A7" s="22"/>
      <c r="B7" s="63" t="s">
        <v>480</v>
      </c>
      <c r="C7" s="22"/>
      <c r="D7" s="22"/>
      <c r="E7" s="22"/>
      <c r="F7" s="22"/>
      <c r="G7" s="22"/>
    </row>
    <row r="8" hidden="1" outlineLevel="1">
      <c r="A8" s="22"/>
      <c r="B8" s="22"/>
      <c r="C8" s="22"/>
      <c r="D8" s="22"/>
      <c r="E8" s="22"/>
      <c r="F8" s="22"/>
      <c r="G8" s="22"/>
    </row>
    <row r="9" collapsed="1">
      <c r="A9" s="154" t="s">
        <v>481</v>
      </c>
      <c r="B9" s="22"/>
      <c r="C9" s="22"/>
      <c r="D9" s="22"/>
      <c r="E9" s="22"/>
      <c r="F9" s="22"/>
      <c r="G9" s="22"/>
    </row>
    <row r="10" hidden="1" outlineLevel="1">
      <c r="B10" s="63" t="s">
        <v>482</v>
      </c>
      <c r="C10" s="22"/>
      <c r="E10" s="22"/>
      <c r="F10" s="22"/>
      <c r="G10" s="22"/>
    </row>
    <row r="11" hidden="1" outlineLevel="1">
      <c r="A11" s="63"/>
      <c r="B11" s="155" t="s">
        <v>483</v>
      </c>
      <c r="C11" s="22"/>
      <c r="E11" s="22"/>
      <c r="F11" s="22"/>
      <c r="G11" s="22"/>
    </row>
    <row r="12" hidden="1" outlineLevel="1">
      <c r="A12" s="63"/>
      <c r="B12" s="155" t="s">
        <v>484</v>
      </c>
      <c r="C12" s="22"/>
      <c r="D12" s="156" t="s">
        <v>485</v>
      </c>
      <c r="E12" s="22"/>
      <c r="F12" s="22"/>
      <c r="G12" s="157" t="s">
        <v>486</v>
      </c>
    </row>
    <row r="13" hidden="1" outlineLevel="1">
      <c r="A13" s="63"/>
      <c r="B13" s="155"/>
      <c r="C13" s="22"/>
      <c r="D13" s="156" t="s">
        <v>487</v>
      </c>
      <c r="E13" s="22"/>
      <c r="F13" s="22"/>
      <c r="G13" s="158" t="s">
        <v>488</v>
      </c>
    </row>
    <row r="14" hidden="1" outlineLevel="1">
      <c r="A14" s="63"/>
      <c r="B14" s="104"/>
      <c r="C14" s="22"/>
      <c r="D14" s="156" t="s">
        <v>489</v>
      </c>
      <c r="E14" s="22"/>
      <c r="F14" s="22"/>
      <c r="G14" s="22"/>
    </row>
    <row r="15" hidden="1" outlineLevel="1">
      <c r="A15" s="63"/>
      <c r="B15" s="104"/>
      <c r="C15" s="22"/>
      <c r="D15" s="156" t="s">
        <v>490</v>
      </c>
      <c r="E15" s="22"/>
      <c r="F15" s="22"/>
      <c r="G15" s="22"/>
    </row>
    <row r="16" hidden="1" outlineLevel="1">
      <c r="A16" s="63"/>
      <c r="B16" s="104"/>
      <c r="C16" s="22"/>
      <c r="D16" s="22"/>
      <c r="E16" s="22"/>
      <c r="F16" s="22"/>
      <c r="G16" s="22"/>
    </row>
    <row r="17" hidden="1" outlineLevel="1">
      <c r="A17" s="63"/>
      <c r="B17" s="104" t="s">
        <v>491</v>
      </c>
      <c r="C17" s="22"/>
      <c r="D17" s="156" t="s">
        <v>492</v>
      </c>
      <c r="E17" s="22"/>
      <c r="F17" s="22"/>
      <c r="G17" s="22"/>
    </row>
    <row r="18" hidden="1" outlineLevel="1">
      <c r="A18" s="63"/>
      <c r="B18" s="155" t="s">
        <v>493</v>
      </c>
      <c r="C18" s="22"/>
      <c r="E18" s="22"/>
      <c r="F18" s="22"/>
      <c r="G18" s="22"/>
    </row>
    <row r="19" hidden="1" outlineLevel="1">
      <c r="A19" s="63"/>
      <c r="B19" s="155" t="s">
        <v>494</v>
      </c>
      <c r="C19" s="22"/>
      <c r="D19" s="159" t="s">
        <v>495</v>
      </c>
      <c r="E19" s="22"/>
      <c r="F19" s="22"/>
      <c r="G19" s="22"/>
    </row>
    <row r="20" hidden="1" outlineLevel="1">
      <c r="A20" s="63"/>
      <c r="B20" s="160" t="s">
        <v>496</v>
      </c>
      <c r="C20" s="22"/>
      <c r="D20" s="22"/>
      <c r="E20" s="22"/>
      <c r="F20" s="22"/>
      <c r="G20" s="22"/>
    </row>
    <row r="21" hidden="1" outlineLevel="1">
      <c r="A21" s="63"/>
      <c r="B21" s="104"/>
      <c r="C21" s="22"/>
      <c r="D21" s="22"/>
      <c r="E21" s="22"/>
      <c r="F21" s="22"/>
      <c r="G21" s="22"/>
    </row>
    <row r="22" hidden="1" outlineLevel="1">
      <c r="A22" s="63"/>
      <c r="B22" s="104" t="s">
        <v>497</v>
      </c>
      <c r="C22" s="22"/>
      <c r="D22" s="156" t="s">
        <v>498</v>
      </c>
      <c r="E22" s="22"/>
      <c r="F22" s="22"/>
      <c r="G22" s="22"/>
    </row>
    <row r="23" hidden="1" outlineLevel="1">
      <c r="A23" s="63"/>
      <c r="B23" s="155" t="s">
        <v>493</v>
      </c>
      <c r="C23" s="22"/>
      <c r="E23" s="22"/>
      <c r="F23" s="22"/>
      <c r="G23" s="22"/>
    </row>
    <row r="24" hidden="1" outlineLevel="1">
      <c r="A24" s="63"/>
      <c r="B24" s="155" t="s">
        <v>494</v>
      </c>
      <c r="C24" s="22"/>
      <c r="D24" s="159" t="s">
        <v>495</v>
      </c>
      <c r="E24" s="22"/>
      <c r="F24" s="22"/>
      <c r="G24" s="22"/>
    </row>
    <row r="25" hidden="1" outlineLevel="1">
      <c r="A25" s="63"/>
      <c r="B25" s="160" t="s">
        <v>496</v>
      </c>
      <c r="C25" s="22"/>
      <c r="D25" s="22"/>
      <c r="E25" s="22"/>
      <c r="F25" s="22"/>
      <c r="G25" s="22"/>
    </row>
    <row r="26" hidden="1" outlineLevel="1">
      <c r="A26" s="63"/>
      <c r="B26" s="104"/>
      <c r="C26" s="22"/>
      <c r="D26" s="62"/>
      <c r="E26" s="22"/>
      <c r="F26" s="22"/>
      <c r="G26" s="22"/>
    </row>
    <row r="27" hidden="1" outlineLevel="1">
      <c r="A27" s="63"/>
      <c r="B27" s="161" t="s">
        <v>499</v>
      </c>
      <c r="C27" s="22"/>
      <c r="D27" s="159" t="s">
        <v>500</v>
      </c>
      <c r="E27" s="22"/>
      <c r="F27" s="22"/>
      <c r="G27" s="22"/>
    </row>
    <row r="28" hidden="1" outlineLevel="1">
      <c r="A28" s="63"/>
      <c r="B28" s="104"/>
      <c r="C28" s="22"/>
      <c r="D28" s="22"/>
      <c r="E28" s="22"/>
      <c r="F28" s="22"/>
      <c r="G28" s="22"/>
    </row>
    <row r="29" hidden="1" outlineLevel="1">
      <c r="A29" s="63"/>
      <c r="B29" s="104" t="s">
        <v>501</v>
      </c>
      <c r="C29" s="22"/>
      <c r="D29" s="22"/>
      <c r="E29" s="22"/>
      <c r="F29" s="22"/>
      <c r="G29" s="22"/>
    </row>
    <row r="30" hidden="1" outlineLevel="1">
      <c r="A30" s="63"/>
      <c r="B30" s="160" t="s">
        <v>502</v>
      </c>
      <c r="C30" s="22"/>
      <c r="D30" s="22"/>
      <c r="E30" s="22"/>
      <c r="F30" s="22"/>
      <c r="G30" s="22"/>
    </row>
    <row r="31" hidden="1" outlineLevel="1">
      <c r="A31" s="63"/>
      <c r="B31" s="160" t="s">
        <v>503</v>
      </c>
      <c r="C31" s="22"/>
      <c r="D31" s="158" t="s">
        <v>504</v>
      </c>
      <c r="E31" s="22"/>
      <c r="F31" s="22"/>
      <c r="G31" s="22"/>
    </row>
    <row r="32" hidden="1" outlineLevel="1">
      <c r="A32" s="63"/>
      <c r="B32" s="155" t="s">
        <v>505</v>
      </c>
      <c r="C32" s="22"/>
      <c r="D32" s="162" t="s">
        <v>506</v>
      </c>
      <c r="E32" s="22"/>
      <c r="F32" s="63" t="s">
        <v>507</v>
      </c>
      <c r="G32" s="22"/>
    </row>
    <row r="33">
      <c r="A33" s="22"/>
      <c r="B33" s="22"/>
      <c r="C33" s="22"/>
      <c r="D33" s="22"/>
      <c r="E33" s="22"/>
      <c r="F33" s="22"/>
      <c r="G33" s="22"/>
    </row>
    <row r="34">
      <c r="A34" s="17" t="s">
        <v>475</v>
      </c>
      <c r="B34" s="17" t="s">
        <v>508</v>
      </c>
      <c r="C34" s="3" t="s">
        <v>2</v>
      </c>
      <c r="D34" s="3" t="s">
        <v>3</v>
      </c>
      <c r="E34" s="57" t="s">
        <v>4</v>
      </c>
      <c r="F34" s="3" t="s">
        <v>5</v>
      </c>
      <c r="G34" s="3" t="s">
        <v>6</v>
      </c>
    </row>
    <row r="35">
      <c r="A35" s="25" t="s">
        <v>7</v>
      </c>
      <c r="B35" s="25" t="s">
        <v>509</v>
      </c>
      <c r="C35" s="19">
        <v>0.0</v>
      </c>
      <c r="D35" s="19">
        <v>8.0</v>
      </c>
      <c r="E35" s="19">
        <v>30.0</v>
      </c>
      <c r="F35" s="7">
        <f t="shared" ref="F35:F36" si="2">(D35-C35) / (E35-C35)</f>
        <v>0.2666666667</v>
      </c>
      <c r="G35" s="8">
        <v>46127.0</v>
      </c>
    </row>
    <row r="36">
      <c r="A36" s="25" t="s">
        <v>9</v>
      </c>
      <c r="B36" s="25" t="s">
        <v>510</v>
      </c>
      <c r="C36" s="19">
        <v>0.0</v>
      </c>
      <c r="D36" s="19">
        <v>0.0</v>
      </c>
      <c r="E36" s="19">
        <v>5.0</v>
      </c>
      <c r="F36" s="7">
        <f t="shared" si="2"/>
        <v>0</v>
      </c>
      <c r="G36" s="8">
        <v>46127.0</v>
      </c>
    </row>
    <row r="37">
      <c r="A37" s="22"/>
      <c r="B37" s="63"/>
    </row>
    <row r="38" collapsed="1">
      <c r="A38" s="129" t="s">
        <v>479</v>
      </c>
      <c r="B38" s="63"/>
    </row>
    <row r="39" hidden="1" outlineLevel="1">
      <c r="A39" s="22"/>
      <c r="B39" s="63" t="s">
        <v>511</v>
      </c>
      <c r="C39" s="22"/>
      <c r="D39" s="159" t="s">
        <v>512</v>
      </c>
      <c r="E39" s="22"/>
      <c r="F39" s="156"/>
      <c r="G39" s="22"/>
    </row>
    <row r="40" hidden="1" outlineLevel="1">
      <c r="A40" s="22"/>
      <c r="B40" s="63" t="s">
        <v>513</v>
      </c>
      <c r="C40" s="22"/>
      <c r="D40" s="159" t="s">
        <v>514</v>
      </c>
      <c r="E40" s="22"/>
      <c r="F40" s="22"/>
      <c r="G40" s="22"/>
    </row>
    <row r="41" hidden="1" outlineLevel="1">
      <c r="A41" s="22"/>
      <c r="B41" s="63" t="s">
        <v>515</v>
      </c>
      <c r="C41" s="22"/>
      <c r="D41" s="159" t="s">
        <v>516</v>
      </c>
      <c r="E41" s="22"/>
      <c r="F41" s="22"/>
      <c r="G41" s="22"/>
    </row>
    <row r="42" hidden="1" outlineLevel="1">
      <c r="A42" s="22"/>
      <c r="B42" s="63" t="s">
        <v>517</v>
      </c>
      <c r="C42" s="22"/>
      <c r="D42" s="159" t="s">
        <v>518</v>
      </c>
      <c r="E42" s="22"/>
      <c r="F42" s="22"/>
      <c r="G42" s="22"/>
    </row>
    <row r="43" hidden="1" outlineLevel="1">
      <c r="A43" s="22"/>
      <c r="B43" s="104"/>
      <c r="C43" s="22"/>
      <c r="D43" s="22"/>
      <c r="E43" s="22"/>
      <c r="F43" s="22"/>
      <c r="G43" s="22"/>
    </row>
    <row r="44" hidden="1" outlineLevel="1">
      <c r="A44" s="22"/>
      <c r="B44" s="63" t="s">
        <v>519</v>
      </c>
      <c r="C44" s="22"/>
      <c r="D44" s="22"/>
      <c r="E44" s="22"/>
      <c r="F44" s="22"/>
      <c r="G44" s="22"/>
    </row>
    <row r="45" hidden="1" outlineLevel="1">
      <c r="A45" s="22"/>
      <c r="B45" s="104"/>
      <c r="C45" s="22"/>
      <c r="D45" s="22"/>
      <c r="E45" s="22"/>
      <c r="F45" s="22"/>
      <c r="G45" s="22"/>
    </row>
    <row r="46" hidden="1" outlineLevel="1">
      <c r="A46" s="22"/>
      <c r="B46" s="104" t="s">
        <v>520</v>
      </c>
      <c r="C46" s="22"/>
      <c r="D46" s="22"/>
      <c r="E46" s="22"/>
      <c r="F46" s="22"/>
      <c r="G46" s="22"/>
    </row>
    <row r="47" hidden="1" outlineLevel="1">
      <c r="A47" s="22"/>
      <c r="B47" s="160" t="s">
        <v>521</v>
      </c>
      <c r="C47" s="22"/>
      <c r="D47" s="22"/>
      <c r="E47" s="22"/>
      <c r="F47" s="22"/>
      <c r="G47" s="22"/>
    </row>
    <row r="48" hidden="1" outlineLevel="1">
      <c r="A48" s="22"/>
      <c r="B48" s="160" t="s">
        <v>522</v>
      </c>
      <c r="C48" s="22"/>
      <c r="D48" s="156" t="s">
        <v>523</v>
      </c>
      <c r="E48" s="22"/>
      <c r="F48" s="22"/>
      <c r="G48" s="22"/>
    </row>
    <row r="49" hidden="1" outlineLevel="1">
      <c r="A49" s="22"/>
      <c r="B49" s="160" t="s">
        <v>524</v>
      </c>
      <c r="C49" s="22"/>
      <c r="D49" s="22"/>
      <c r="E49" s="22"/>
      <c r="F49" s="22"/>
      <c r="G49" s="22"/>
    </row>
    <row r="50">
      <c r="A50" s="22"/>
      <c r="B50" s="22"/>
      <c r="C50" s="22"/>
      <c r="D50" s="22"/>
      <c r="E50" s="22"/>
      <c r="F50" s="22"/>
      <c r="G50" s="22"/>
    </row>
    <row r="51">
      <c r="A51" s="17" t="s">
        <v>475</v>
      </c>
      <c r="B51" s="17" t="s">
        <v>525</v>
      </c>
      <c r="C51" s="3" t="s">
        <v>2</v>
      </c>
      <c r="D51" s="3" t="s">
        <v>3</v>
      </c>
      <c r="E51" s="57" t="s">
        <v>4</v>
      </c>
      <c r="F51" s="3" t="s">
        <v>5</v>
      </c>
      <c r="G51" s="3" t="s">
        <v>6</v>
      </c>
    </row>
    <row r="52">
      <c r="A52" s="5" t="s">
        <v>7</v>
      </c>
      <c r="B52" s="5" t="s">
        <v>526</v>
      </c>
      <c r="C52" s="123">
        <v>1.0</v>
      </c>
      <c r="D52" s="6">
        <v>3.0</v>
      </c>
      <c r="E52" s="6">
        <v>7.0</v>
      </c>
      <c r="F52" s="7">
        <f t="shared" ref="F52:F53" si="3">(D52-C52) / (E52-C52)</f>
        <v>0.3333333333</v>
      </c>
      <c r="G52" s="8">
        <v>46127.0</v>
      </c>
      <c r="I52" s="62">
        <v>10.0</v>
      </c>
    </row>
    <row r="53">
      <c r="A53" s="5" t="s">
        <v>9</v>
      </c>
      <c r="B53" s="25" t="s">
        <v>527</v>
      </c>
      <c r="C53" s="123">
        <v>3038.0</v>
      </c>
      <c r="D53" s="6">
        <v>3038.0</v>
      </c>
      <c r="E53" s="123">
        <v>7000.0</v>
      </c>
      <c r="F53" s="7">
        <f t="shared" si="3"/>
        <v>0</v>
      </c>
      <c r="G53" s="8">
        <v>46127.0</v>
      </c>
      <c r="I53" s="62">
        <v>10000.0</v>
      </c>
    </row>
    <row r="54">
      <c r="A54" s="22"/>
      <c r="B54" s="22"/>
      <c r="C54" s="22"/>
      <c r="D54" s="22"/>
      <c r="E54" s="22"/>
      <c r="F54" s="22"/>
      <c r="G54" s="22"/>
    </row>
    <row r="55" collapsed="1">
      <c r="A55" s="23" t="s">
        <v>479</v>
      </c>
      <c r="B55" s="22"/>
      <c r="C55" s="22"/>
      <c r="D55" s="22"/>
      <c r="E55" s="22"/>
      <c r="F55" s="22"/>
      <c r="G55" s="22"/>
    </row>
    <row r="56" hidden="1" outlineLevel="1">
      <c r="A56" s="23"/>
      <c r="B56" s="63" t="s">
        <v>528</v>
      </c>
      <c r="C56" s="104"/>
      <c r="D56" s="162"/>
      <c r="E56" s="22"/>
    </row>
    <row r="57" hidden="1" outlineLevel="1">
      <c r="B57" s="63"/>
      <c r="C57" s="104"/>
      <c r="D57" s="162"/>
      <c r="E57" s="22"/>
    </row>
    <row r="58" hidden="1" outlineLevel="1">
      <c r="B58" s="63"/>
      <c r="C58" s="104"/>
      <c r="D58" s="162"/>
      <c r="E58" s="22"/>
    </row>
    <row r="59" hidden="1" outlineLevel="1">
      <c r="B59" s="63" t="s">
        <v>529</v>
      </c>
      <c r="C59" s="104"/>
      <c r="D59" s="162" t="s">
        <v>530</v>
      </c>
      <c r="E59" s="22"/>
    </row>
    <row r="60" hidden="1" outlineLevel="1">
      <c r="B60" s="63" t="s">
        <v>531</v>
      </c>
      <c r="C60" s="104"/>
      <c r="D60" s="162" t="s">
        <v>532</v>
      </c>
      <c r="E60" s="22"/>
    </row>
    <row r="61" hidden="1" outlineLevel="1">
      <c r="B61" s="104"/>
      <c r="C61" s="22"/>
      <c r="D61" s="22"/>
      <c r="E61" s="22"/>
    </row>
    <row r="62" hidden="1" outlineLevel="1">
      <c r="A62" s="163"/>
      <c r="B62" s="63" t="s">
        <v>533</v>
      </c>
      <c r="C62" s="104"/>
      <c r="D62" s="22"/>
      <c r="E62" s="22"/>
    </row>
    <row r="63" hidden="1" outlineLevel="1">
      <c r="E63" s="22"/>
    </row>
    <row r="64">
      <c r="B64" s="104"/>
      <c r="C64" s="104"/>
      <c r="D64" s="22"/>
      <c r="E64" s="22"/>
    </row>
    <row r="65">
      <c r="A65" s="77"/>
      <c r="B65" s="104"/>
      <c r="C65" s="22"/>
      <c r="D65" s="22"/>
      <c r="E65" s="22"/>
    </row>
    <row r="66">
      <c r="A66" s="163"/>
      <c r="C66" s="104"/>
      <c r="D66" s="22"/>
      <c r="E66" s="22"/>
    </row>
    <row r="67">
      <c r="C67" s="104"/>
      <c r="D67" s="22"/>
      <c r="E67" s="22"/>
    </row>
    <row r="68">
      <c r="C68" s="22"/>
      <c r="D68" s="22"/>
      <c r="E68" s="22"/>
    </row>
    <row r="69">
      <c r="A69" s="163"/>
    </row>
    <row r="72">
      <c r="A72" s="16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2.5"/>
  </cols>
  <sheetData>
    <row r="1">
      <c r="A1" s="15"/>
      <c r="B1" s="15"/>
      <c r="C1" s="16"/>
      <c r="D1" s="16"/>
      <c r="E1" s="16"/>
      <c r="F1" s="16"/>
      <c r="G1" s="16"/>
    </row>
    <row r="2">
      <c r="A2" s="1" t="s">
        <v>534</v>
      </c>
      <c r="B2" s="1" t="s">
        <v>535</v>
      </c>
      <c r="C2" s="3" t="s">
        <v>2</v>
      </c>
      <c r="D2" s="3" t="s">
        <v>3</v>
      </c>
      <c r="E2" s="3" t="s">
        <v>4</v>
      </c>
      <c r="F2" s="3" t="s">
        <v>5</v>
      </c>
      <c r="G2" s="3" t="s">
        <v>6</v>
      </c>
    </row>
    <row r="3">
      <c r="A3" s="25" t="s">
        <v>7</v>
      </c>
      <c r="B3" s="5" t="s">
        <v>536</v>
      </c>
      <c r="C3" s="19">
        <v>0.0</v>
      </c>
      <c r="D3" s="19">
        <v>0.0</v>
      </c>
      <c r="E3" s="51">
        <v>25.0</v>
      </c>
      <c r="F3" s="7">
        <f t="shared" ref="F3:F4" si="1">(D3-C3) / (E3-C3)</f>
        <v>0</v>
      </c>
      <c r="G3" s="8">
        <v>46122.0</v>
      </c>
    </row>
    <row r="4">
      <c r="A4" s="25" t="s">
        <v>9</v>
      </c>
      <c r="B4" s="5" t="s">
        <v>537</v>
      </c>
      <c r="C4" s="19">
        <v>0.0</v>
      </c>
      <c r="D4" s="19">
        <v>0.0</v>
      </c>
      <c r="E4" s="5">
        <v>40.0</v>
      </c>
      <c r="F4" s="7">
        <f t="shared" si="1"/>
        <v>0</v>
      </c>
      <c r="G4" s="8">
        <v>46122.0</v>
      </c>
    </row>
    <row r="5">
      <c r="A5" s="25" t="s">
        <v>11</v>
      </c>
      <c r="B5" s="5" t="s">
        <v>538</v>
      </c>
      <c r="C5" s="19">
        <v>0.0</v>
      </c>
      <c r="D5" s="19">
        <v>0.0</v>
      </c>
      <c r="E5" s="51">
        <v>3.0</v>
      </c>
      <c r="F5" s="7">
        <v>0.0</v>
      </c>
      <c r="G5" s="27">
        <v>46122.0</v>
      </c>
    </row>
    <row r="6">
      <c r="A6" s="22"/>
      <c r="C6" s="22"/>
      <c r="D6" s="22"/>
      <c r="E6" s="22"/>
      <c r="F6" s="22"/>
      <c r="G6" s="22"/>
    </row>
    <row r="7">
      <c r="A7" s="28" t="s">
        <v>26</v>
      </c>
      <c r="C7" s="22"/>
      <c r="D7" s="22"/>
      <c r="E7" s="22"/>
      <c r="F7" s="22"/>
      <c r="G7" s="22"/>
    </row>
    <row r="8">
      <c r="A8" s="62" t="s">
        <v>107</v>
      </c>
      <c r="B8" s="62" t="s">
        <v>539</v>
      </c>
      <c r="C8" s="62">
        <v>0.0</v>
      </c>
      <c r="E8" s="62">
        <v>10.0</v>
      </c>
    </row>
    <row r="9">
      <c r="A9" s="62" t="s">
        <v>107</v>
      </c>
      <c r="B9" s="62" t="s">
        <v>540</v>
      </c>
      <c r="C9" s="62">
        <v>0.0</v>
      </c>
      <c r="E9" s="62">
        <v>5.0</v>
      </c>
    </row>
    <row r="10">
      <c r="A10" s="62" t="s">
        <v>107</v>
      </c>
      <c r="B10" s="62" t="s">
        <v>541</v>
      </c>
      <c r="C10" s="62">
        <v>0.0</v>
      </c>
      <c r="E10" s="62">
        <v>10.0</v>
      </c>
    </row>
    <row r="11">
      <c r="A11" s="18" t="s">
        <v>213</v>
      </c>
      <c r="B11" s="18" t="s">
        <v>542</v>
      </c>
      <c r="C11" s="62">
        <v>0.0</v>
      </c>
      <c r="E11" s="62">
        <v>8.0</v>
      </c>
    </row>
    <row r="12">
      <c r="A12" s="62"/>
      <c r="B12" s="18" t="s">
        <v>543</v>
      </c>
      <c r="C12" s="62">
        <v>0.0</v>
      </c>
      <c r="E12" s="62">
        <v>40.0</v>
      </c>
    </row>
    <row r="13">
      <c r="A13" s="62"/>
      <c r="B13" s="62"/>
      <c r="C13" s="62"/>
      <c r="E13" s="62"/>
    </row>
    <row r="14">
      <c r="A14" s="62"/>
      <c r="B14" s="62"/>
      <c r="C14" s="62"/>
      <c r="E14" s="62"/>
    </row>
    <row r="15">
      <c r="A15" s="63" t="s">
        <v>111</v>
      </c>
      <c r="B15" s="62" t="s">
        <v>544</v>
      </c>
      <c r="C15" s="63">
        <v>0.0</v>
      </c>
      <c r="D15" s="22"/>
      <c r="E15" s="63">
        <v>20.0</v>
      </c>
      <c r="F15" s="22"/>
      <c r="G15" s="22"/>
    </row>
    <row r="16">
      <c r="A16" s="63" t="s">
        <v>111</v>
      </c>
      <c r="B16" s="62" t="s">
        <v>545</v>
      </c>
      <c r="C16" s="63">
        <v>0.0</v>
      </c>
      <c r="D16" s="22"/>
      <c r="E16" s="63">
        <v>15.0</v>
      </c>
      <c r="F16" s="22"/>
      <c r="G16" s="22"/>
    </row>
    <row r="17">
      <c r="A17" s="62" t="s">
        <v>111</v>
      </c>
      <c r="B17" s="62" t="s">
        <v>546</v>
      </c>
      <c r="C17" s="63">
        <v>0.0</v>
      </c>
      <c r="E17" s="62">
        <v>5.0</v>
      </c>
    </row>
    <row r="18">
      <c r="A18" s="18" t="s">
        <v>106</v>
      </c>
      <c r="B18" s="18" t="s">
        <v>547</v>
      </c>
      <c r="C18" s="63">
        <v>0.0</v>
      </c>
      <c r="E18" s="62">
        <v>2.0</v>
      </c>
    </row>
    <row r="19">
      <c r="A19" s="18"/>
      <c r="B19" s="18" t="s">
        <v>548</v>
      </c>
      <c r="C19" s="63">
        <v>0.0</v>
      </c>
      <c r="E19" s="62">
        <v>20.0</v>
      </c>
    </row>
    <row r="20">
      <c r="A20" s="18"/>
      <c r="B20" s="18" t="s">
        <v>549</v>
      </c>
      <c r="C20" s="63">
        <v>0.0</v>
      </c>
      <c r="E20" s="62">
        <v>80.0</v>
      </c>
    </row>
    <row r="21">
      <c r="A21" s="62"/>
      <c r="B21" s="62"/>
      <c r="C21" s="63"/>
    </row>
    <row r="22">
      <c r="A22" s="164" t="s">
        <v>114</v>
      </c>
      <c r="B22" s="62" t="s">
        <v>550</v>
      </c>
      <c r="C22" s="62">
        <v>0.0</v>
      </c>
      <c r="E22" s="62">
        <v>9.0</v>
      </c>
    </row>
    <row r="23">
      <c r="A23" s="165" t="s">
        <v>106</v>
      </c>
      <c r="B23" s="18" t="s">
        <v>551</v>
      </c>
      <c r="C23" s="62">
        <v>0.0</v>
      </c>
      <c r="E23" s="62">
        <v>3.0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s>
  <sheetData>
    <row r="1">
      <c r="A1" s="17" t="s">
        <v>13</v>
      </c>
      <c r="B1" s="1" t="s">
        <v>552</v>
      </c>
      <c r="C1" s="3" t="s">
        <v>2</v>
      </c>
      <c r="D1" s="3" t="s">
        <v>3</v>
      </c>
      <c r="E1" s="3" t="s">
        <v>4</v>
      </c>
      <c r="F1" s="3" t="s">
        <v>5</v>
      </c>
      <c r="G1" s="3" t="s">
        <v>6</v>
      </c>
    </row>
    <row r="2">
      <c r="A2" s="25" t="s">
        <v>7</v>
      </c>
      <c r="B2" s="5" t="s">
        <v>553</v>
      </c>
      <c r="C2" s="19">
        <v>0.0</v>
      </c>
      <c r="D2" s="6">
        <v>1.0</v>
      </c>
      <c r="E2" s="51">
        <v>30.0</v>
      </c>
      <c r="F2" s="7">
        <f t="shared" ref="F2:F4" si="1">(D2-C2) / (E2-C2)</f>
        <v>0.03333333333</v>
      </c>
      <c r="G2" s="8">
        <v>46113.0</v>
      </c>
    </row>
    <row r="3">
      <c r="A3" s="25" t="s">
        <v>9</v>
      </c>
      <c r="B3" s="5" t="s">
        <v>554</v>
      </c>
      <c r="C3" s="19">
        <v>0.0</v>
      </c>
      <c r="D3" s="19">
        <v>0.0</v>
      </c>
      <c r="E3" s="51">
        <v>5.0</v>
      </c>
      <c r="F3" s="7">
        <f t="shared" si="1"/>
        <v>0</v>
      </c>
      <c r="G3" s="8">
        <v>46113.0</v>
      </c>
    </row>
    <row r="4">
      <c r="A4" s="25" t="s">
        <v>11</v>
      </c>
      <c r="B4" s="5" t="s">
        <v>555</v>
      </c>
      <c r="C4" s="6">
        <v>0.0</v>
      </c>
      <c r="D4" s="6">
        <v>0.0</v>
      </c>
      <c r="E4" s="51">
        <v>50.0</v>
      </c>
      <c r="F4" s="7">
        <f t="shared" si="1"/>
        <v>0</v>
      </c>
      <c r="G4" s="8">
        <v>46113.0</v>
      </c>
    </row>
    <row r="5">
      <c r="A5" s="22"/>
      <c r="B5" s="22"/>
      <c r="C5" s="22"/>
      <c r="D5" s="22"/>
      <c r="E5" s="22"/>
      <c r="F5" s="22"/>
      <c r="G5" s="22"/>
    </row>
    <row r="6">
      <c r="A6" s="28" t="s">
        <v>26</v>
      </c>
      <c r="B6" s="63" t="s">
        <v>556</v>
      </c>
      <c r="C6" s="22"/>
      <c r="D6" s="22"/>
      <c r="E6" s="22"/>
      <c r="F6" s="22"/>
      <c r="G6" s="22"/>
    </row>
    <row r="7">
      <c r="A7" s="22"/>
      <c r="B7" s="63" t="s">
        <v>557</v>
      </c>
      <c r="C7" s="22"/>
      <c r="D7" s="22"/>
      <c r="E7" s="22"/>
      <c r="F7" s="22"/>
      <c r="G7" s="22"/>
    </row>
    <row r="8">
      <c r="A8" s="22"/>
      <c r="B8" s="63" t="s">
        <v>558</v>
      </c>
      <c r="C8" s="22"/>
      <c r="D8" s="22"/>
      <c r="E8" s="22"/>
      <c r="F8" s="22"/>
      <c r="G8" s="22"/>
    </row>
    <row r="9">
      <c r="A9" s="22"/>
      <c r="B9" s="63" t="s">
        <v>559</v>
      </c>
      <c r="C9" s="22"/>
      <c r="D9" s="22"/>
      <c r="E9" s="22"/>
      <c r="F9" s="22"/>
      <c r="G9" s="2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13"/>
    <col customWidth="1" min="2" max="2" width="88.75"/>
    <col customWidth="1" min="3" max="7" width="12.63"/>
  </cols>
  <sheetData>
    <row r="1">
      <c r="A1" s="17" t="s">
        <v>13</v>
      </c>
      <c r="B1" s="1" t="s">
        <v>560</v>
      </c>
      <c r="C1" s="3" t="s">
        <v>2</v>
      </c>
      <c r="D1" s="3" t="s">
        <v>3</v>
      </c>
      <c r="E1" s="3" t="s">
        <v>4</v>
      </c>
      <c r="F1" s="3" t="s">
        <v>5</v>
      </c>
      <c r="G1" s="3" t="s">
        <v>6</v>
      </c>
    </row>
    <row r="2">
      <c r="A2" s="5" t="s">
        <v>7</v>
      </c>
      <c r="B2" s="5" t="s">
        <v>561</v>
      </c>
      <c r="C2" s="6">
        <v>0.0</v>
      </c>
      <c r="D2" s="6">
        <v>0.0</v>
      </c>
      <c r="E2" s="6">
        <v>22.0</v>
      </c>
      <c r="F2" s="7">
        <f t="shared" ref="F2:F4" si="1">(D2-C2) / (E2-C2)</f>
        <v>0</v>
      </c>
      <c r="G2" s="8">
        <v>46113.0</v>
      </c>
    </row>
    <row r="3">
      <c r="A3" s="5" t="s">
        <v>9</v>
      </c>
      <c r="B3" s="5" t="s">
        <v>562</v>
      </c>
      <c r="C3" s="6">
        <v>0.0</v>
      </c>
      <c r="D3" s="6">
        <v>0.0</v>
      </c>
      <c r="E3" s="6">
        <v>22.0</v>
      </c>
      <c r="F3" s="7">
        <f t="shared" si="1"/>
        <v>0</v>
      </c>
      <c r="G3" s="8">
        <v>46113.0</v>
      </c>
    </row>
    <row r="4">
      <c r="A4" s="5" t="s">
        <v>11</v>
      </c>
      <c r="B4" s="5" t="s">
        <v>563</v>
      </c>
      <c r="C4" s="6">
        <v>0.0</v>
      </c>
      <c r="D4" s="6">
        <v>0.0</v>
      </c>
      <c r="E4" s="6">
        <v>22.0</v>
      </c>
      <c r="F4" s="7">
        <f t="shared" si="1"/>
        <v>0</v>
      </c>
      <c r="G4" s="8">
        <v>46113.0</v>
      </c>
    </row>
    <row r="5">
      <c r="A5" s="22"/>
      <c r="B5" s="22"/>
      <c r="C5" s="22"/>
      <c r="D5" s="22"/>
      <c r="E5" s="22"/>
      <c r="F5" s="22"/>
      <c r="G5" s="22"/>
    </row>
    <row r="6">
      <c r="A6" s="28" t="s">
        <v>26</v>
      </c>
      <c r="B6" s="63"/>
      <c r="C6" s="103"/>
      <c r="D6" s="22"/>
      <c r="E6" s="22"/>
      <c r="F6" s="22"/>
      <c r="G6" s="22"/>
    </row>
    <row r="7">
      <c r="A7" s="22"/>
      <c r="B7" s="63" t="s">
        <v>564</v>
      </c>
      <c r="C7" s="103"/>
      <c r="D7" s="22"/>
      <c r="E7" s="22"/>
      <c r="F7" s="22"/>
      <c r="G7" s="22"/>
    </row>
    <row r="8">
      <c r="A8" s="22"/>
      <c r="B8" s="62" t="s">
        <v>565</v>
      </c>
      <c r="C8" s="103"/>
      <c r="D8" s="22"/>
      <c r="E8" s="22"/>
      <c r="F8" s="22"/>
      <c r="G8" s="22"/>
    </row>
    <row r="9">
      <c r="A9" s="22"/>
      <c r="B9" s="62" t="s">
        <v>566</v>
      </c>
      <c r="C9" s="103"/>
      <c r="D9" s="22"/>
      <c r="E9" s="22"/>
      <c r="F9" s="22"/>
      <c r="G9" s="22"/>
    </row>
    <row r="10">
      <c r="B10" s="62" t="s">
        <v>567</v>
      </c>
    </row>
    <row r="11">
      <c r="A11" s="23"/>
      <c r="B11" s="62" t="s">
        <v>568</v>
      </c>
    </row>
    <row r="12">
      <c r="A12" s="23"/>
    </row>
    <row r="13">
      <c r="A13" s="23"/>
    </row>
    <row r="14">
      <c r="A14" s="23"/>
    </row>
    <row r="15">
      <c r="A15" s="23"/>
    </row>
    <row r="16">
      <c r="A16" s="17" t="s">
        <v>13</v>
      </c>
      <c r="B16" s="1" t="s">
        <v>569</v>
      </c>
      <c r="C16" s="3" t="s">
        <v>2</v>
      </c>
      <c r="D16" s="3" t="s">
        <v>3</v>
      </c>
      <c r="E16" s="3" t="s">
        <v>4</v>
      </c>
      <c r="F16" s="3" t="s">
        <v>5</v>
      </c>
      <c r="G16" s="3" t="s">
        <v>6</v>
      </c>
      <c r="H16" s="105"/>
      <c r="I16" s="105"/>
      <c r="J16" s="105"/>
      <c r="K16" s="105"/>
      <c r="L16" s="105"/>
      <c r="M16" s="105"/>
      <c r="N16" s="105"/>
      <c r="O16" s="105"/>
      <c r="P16" s="105"/>
      <c r="Q16" s="105"/>
      <c r="R16" s="105"/>
      <c r="S16" s="105"/>
      <c r="T16" s="105"/>
      <c r="U16" s="105"/>
      <c r="V16" s="105"/>
      <c r="W16" s="105"/>
      <c r="X16" s="105"/>
      <c r="Y16" s="105"/>
      <c r="Z16" s="105"/>
    </row>
    <row r="17">
      <c r="A17" s="5" t="s">
        <v>7</v>
      </c>
      <c r="B17" s="5" t="s">
        <v>570</v>
      </c>
      <c r="C17" s="6">
        <v>0.0</v>
      </c>
      <c r="D17" s="6">
        <v>1.0</v>
      </c>
      <c r="E17" s="6">
        <v>8.0</v>
      </c>
      <c r="F17" s="7">
        <f t="shared" ref="F17:F19" si="2">(D17-C17) / (E17-C17)</f>
        <v>0.125</v>
      </c>
      <c r="G17" s="8">
        <v>46113.0</v>
      </c>
      <c r="H17" s="105"/>
      <c r="I17" s="105"/>
      <c r="J17" s="105"/>
      <c r="K17" s="105"/>
      <c r="L17" s="105"/>
      <c r="M17" s="105"/>
      <c r="N17" s="105"/>
      <c r="O17" s="105"/>
      <c r="P17" s="105"/>
      <c r="Q17" s="105"/>
      <c r="R17" s="105"/>
      <c r="S17" s="105"/>
      <c r="T17" s="105"/>
      <c r="U17" s="105"/>
      <c r="V17" s="105"/>
      <c r="W17" s="105"/>
      <c r="X17" s="105"/>
      <c r="Y17" s="105"/>
      <c r="Z17" s="105"/>
    </row>
    <row r="18">
      <c r="A18" s="5" t="s">
        <v>9</v>
      </c>
      <c r="B18" s="5" t="s">
        <v>571</v>
      </c>
      <c r="C18" s="6">
        <v>50.0</v>
      </c>
      <c r="D18" s="6">
        <v>50.0</v>
      </c>
      <c r="E18" s="6">
        <v>80.0</v>
      </c>
      <c r="F18" s="7">
        <f t="shared" si="2"/>
        <v>0</v>
      </c>
      <c r="G18" s="8">
        <v>46113.0</v>
      </c>
      <c r="H18" s="105"/>
      <c r="I18" s="105"/>
      <c r="J18" s="105"/>
      <c r="K18" s="105"/>
      <c r="L18" s="105"/>
      <c r="M18" s="105"/>
      <c r="N18" s="105"/>
      <c r="O18" s="105"/>
      <c r="P18" s="105"/>
      <c r="Q18" s="105"/>
      <c r="R18" s="105"/>
      <c r="S18" s="105"/>
      <c r="T18" s="105"/>
      <c r="U18" s="105"/>
      <c r="V18" s="105"/>
      <c r="W18" s="105"/>
      <c r="X18" s="105"/>
      <c r="Y18" s="105"/>
      <c r="Z18" s="105"/>
    </row>
    <row r="19">
      <c r="A19" s="5" t="s">
        <v>11</v>
      </c>
      <c r="B19" s="78" t="s">
        <v>572</v>
      </c>
      <c r="C19" s="6">
        <v>48.0</v>
      </c>
      <c r="D19" s="6">
        <v>48.0</v>
      </c>
      <c r="E19" s="19">
        <v>15.0</v>
      </c>
      <c r="F19" s="7">
        <f t="shared" si="2"/>
        <v>0</v>
      </c>
      <c r="G19" s="8">
        <v>46113.0</v>
      </c>
      <c r="H19" s="105"/>
      <c r="I19" s="105"/>
      <c r="J19" s="105"/>
      <c r="K19" s="105"/>
      <c r="L19" s="105"/>
      <c r="M19" s="105"/>
      <c r="N19" s="105"/>
      <c r="O19" s="105"/>
      <c r="P19" s="105"/>
      <c r="Q19" s="105"/>
      <c r="R19" s="105"/>
      <c r="S19" s="105"/>
      <c r="T19" s="105"/>
      <c r="U19" s="105"/>
      <c r="V19" s="105"/>
      <c r="W19" s="105"/>
      <c r="X19" s="105"/>
      <c r="Y19" s="105"/>
      <c r="Z19" s="105"/>
    </row>
    <row r="20">
      <c r="A20" s="22"/>
      <c r="B20" s="22"/>
      <c r="C20" s="22"/>
      <c r="D20" s="22"/>
      <c r="E20" s="22"/>
      <c r="F20" s="22"/>
      <c r="G20" s="22"/>
      <c r="H20" s="105"/>
      <c r="I20" s="105"/>
      <c r="J20" s="105"/>
      <c r="K20" s="105"/>
      <c r="L20" s="105"/>
      <c r="M20" s="105"/>
      <c r="N20" s="105"/>
      <c r="O20" s="105"/>
      <c r="P20" s="105"/>
      <c r="Q20" s="105"/>
      <c r="R20" s="105"/>
      <c r="S20" s="105"/>
      <c r="T20" s="105"/>
      <c r="U20" s="105"/>
      <c r="V20" s="105"/>
      <c r="W20" s="105"/>
      <c r="X20" s="105"/>
      <c r="Y20" s="105"/>
      <c r="Z20" s="105"/>
    </row>
    <row r="21">
      <c r="A21" s="28" t="s">
        <v>26</v>
      </c>
      <c r="B21" s="63"/>
      <c r="C21" s="103"/>
      <c r="D21" s="22"/>
      <c r="E21" s="22"/>
      <c r="F21" s="22"/>
      <c r="G21" s="22"/>
      <c r="H21" s="105"/>
      <c r="I21" s="105"/>
      <c r="J21" s="105"/>
      <c r="K21" s="105"/>
      <c r="L21" s="105"/>
      <c r="M21" s="105"/>
      <c r="N21" s="105"/>
      <c r="O21" s="105"/>
      <c r="P21" s="105"/>
      <c r="Q21" s="105"/>
      <c r="R21" s="105"/>
      <c r="S21" s="105"/>
      <c r="T21" s="105"/>
      <c r="U21" s="105"/>
      <c r="V21" s="105"/>
      <c r="W21" s="105"/>
      <c r="X21" s="105"/>
      <c r="Y21" s="105"/>
      <c r="Z21" s="105"/>
    </row>
    <row r="22">
      <c r="A22" s="105"/>
      <c r="B22" s="166" t="s">
        <v>573</v>
      </c>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B23" s="62" t="s">
        <v>574</v>
      </c>
    </row>
    <row r="27">
      <c r="A27" s="17" t="s">
        <v>13</v>
      </c>
      <c r="B27" s="1" t="s">
        <v>575</v>
      </c>
      <c r="C27" s="3" t="s">
        <v>2</v>
      </c>
      <c r="D27" s="3" t="s">
        <v>3</v>
      </c>
      <c r="E27" s="3" t="s">
        <v>4</v>
      </c>
      <c r="F27" s="3" t="s">
        <v>5</v>
      </c>
      <c r="G27" s="3" t="s">
        <v>6</v>
      </c>
    </row>
    <row r="28">
      <c r="A28" s="5" t="s">
        <v>7</v>
      </c>
      <c r="B28" s="5" t="s">
        <v>576</v>
      </c>
      <c r="C28" s="6" t="s">
        <v>577</v>
      </c>
      <c r="D28" s="6" t="s">
        <v>577</v>
      </c>
      <c r="E28" s="6">
        <v>22.0</v>
      </c>
      <c r="F28" s="7" t="str">
        <f t="shared" ref="F28:F29" si="3">(D28-C28) / (E28-C28)</f>
        <v>#VALUE!</v>
      </c>
      <c r="G28" s="8">
        <v>46113.0</v>
      </c>
    </row>
    <row r="29">
      <c r="A29" s="5" t="s">
        <v>9</v>
      </c>
      <c r="B29" s="5" t="s">
        <v>578</v>
      </c>
      <c r="C29" s="6" t="s">
        <v>577</v>
      </c>
      <c r="D29" s="6" t="s">
        <v>577</v>
      </c>
      <c r="E29" s="6">
        <v>44.0</v>
      </c>
      <c r="F29" s="7" t="str">
        <f t="shared" si="3"/>
        <v>#VALUE!</v>
      </c>
      <c r="G29" s="8">
        <v>46113.0</v>
      </c>
    </row>
    <row r="30">
      <c r="A30" s="22"/>
      <c r="B30" s="22"/>
      <c r="C30" s="22"/>
      <c r="D30" s="22"/>
      <c r="E30" s="22"/>
      <c r="F30" s="22"/>
      <c r="G30" s="22"/>
    </row>
    <row r="31">
      <c r="A31" s="28" t="s">
        <v>26</v>
      </c>
      <c r="B31" s="63"/>
      <c r="C31" s="103"/>
      <c r="D31" s="22"/>
      <c r="E31" s="22"/>
      <c r="F31" s="22"/>
      <c r="G31" s="22"/>
    </row>
    <row r="32">
      <c r="B32" s="62" t="s">
        <v>579</v>
      </c>
    </row>
    <row r="33">
      <c r="B33" s="62" t="s">
        <v>580</v>
      </c>
    </row>
    <row r="34">
      <c r="B34" s="62" t="s">
        <v>581</v>
      </c>
    </row>
    <row r="35">
      <c r="B35" s="62" t="s">
        <v>582</v>
      </c>
    </row>
  </sheetData>
  <printOptions gridLines="1" horizontalCentered="1"/>
  <pageMargins bottom="0.75" footer="0.0" header="0.0" left="0.7" right="0.7" top="0.75"/>
  <pageSetup fitToHeight="0" paperSize="9" cellComments="atEnd" orientation="landscape" pageOrder="overThenDown"/>
  <drawing r:id="rId4"/>
  <legacyDrawing r:id="rId5"/>
</worksheet>
</file>